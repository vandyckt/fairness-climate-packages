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0064918\Documents\Papers\Horizontal and vertical equity\NCC\Replication files\MATLAB_Code_Supplement\"/>
    </mc:Choice>
  </mc:AlternateContent>
  <xr:revisionPtr revIDLastSave="0" documentId="13_ncr:1_{3807701D-7471-4CFA-AA1E-4CC071F0B1F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adMe" sheetId="3" r:id="rId1"/>
    <sheet name="TRA" sheetId="1" r:id="rId2"/>
    <sheet name="Welfare" sheetId="2" r:id="rId3"/>
    <sheet name="dINC" sheetId="4" r:id="rId4"/>
    <sheet name="PriceChange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2" l="1"/>
  <c r="F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R5" i="2"/>
  <c r="R4" i="2"/>
  <c r="R3" i="2"/>
  <c r="N32" i="2"/>
  <c r="N31" i="2"/>
  <c r="N30" i="2"/>
  <c r="N29" i="2"/>
  <c r="N28" i="2"/>
  <c r="N27" i="2"/>
  <c r="N26" i="2"/>
  <c r="N25" i="2"/>
  <c r="N24" i="2"/>
  <c r="N23" i="2"/>
  <c r="N22" i="2"/>
  <c r="N21" i="2"/>
  <c r="N20" i="2"/>
  <c r="N19" i="2"/>
  <c r="N18" i="2"/>
  <c r="N17" i="2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</calcChain>
</file>

<file path=xl/sharedStrings.xml><?xml version="1.0" encoding="utf-8"?>
<sst xmlns="http://schemas.openxmlformats.org/spreadsheetml/2006/main" count="278" uniqueCount="93">
  <si>
    <t>Numbers below are in EUR 2015 and adjusted for per capita consumption growth 2015-2030.</t>
  </si>
  <si>
    <t>REG</t>
  </si>
  <si>
    <t>CPRICE</t>
  </si>
  <si>
    <t>MIX</t>
  </si>
  <si>
    <t>MIX-NoSubs</t>
  </si>
  <si>
    <t>AU</t>
  </si>
  <si>
    <t>AUT</t>
  </si>
  <si>
    <t>BE</t>
  </si>
  <si>
    <t>BEL</t>
  </si>
  <si>
    <t>BG</t>
  </si>
  <si>
    <t>BGR</t>
  </si>
  <si>
    <t>CY</t>
  </si>
  <si>
    <t>CYP</t>
  </si>
  <si>
    <t>CZ</t>
  </si>
  <si>
    <t>CZE</t>
  </si>
  <si>
    <t>DE</t>
  </si>
  <si>
    <t>DEU</t>
  </si>
  <si>
    <t>DK</t>
  </si>
  <si>
    <t>DNK</t>
  </si>
  <si>
    <t>ES</t>
  </si>
  <si>
    <t>ESP</t>
  </si>
  <si>
    <t>EE</t>
  </si>
  <si>
    <t>EST</t>
  </si>
  <si>
    <t>FI</t>
  </si>
  <si>
    <t>FIN</t>
  </si>
  <si>
    <t>FR</t>
  </si>
  <si>
    <t>FRA</t>
  </si>
  <si>
    <t>UK</t>
  </si>
  <si>
    <t>GBR</t>
  </si>
  <si>
    <t>EL</t>
  </si>
  <si>
    <t>GRC</t>
  </si>
  <si>
    <t>HU</t>
  </si>
  <si>
    <t>HUN</t>
  </si>
  <si>
    <t>IE</t>
  </si>
  <si>
    <t>IRL</t>
  </si>
  <si>
    <t>IT</t>
  </si>
  <si>
    <t>ITA</t>
  </si>
  <si>
    <t>LT</t>
  </si>
  <si>
    <t>LTU</t>
  </si>
  <si>
    <t>LU</t>
  </si>
  <si>
    <t>LUX</t>
  </si>
  <si>
    <t>LV</t>
  </si>
  <si>
    <t>LVA</t>
  </si>
  <si>
    <t>MT</t>
  </si>
  <si>
    <t>MLT</t>
  </si>
  <si>
    <t>NL</t>
  </si>
  <si>
    <t>NLD</t>
  </si>
  <si>
    <t>PL</t>
  </si>
  <si>
    <t>POL</t>
  </si>
  <si>
    <t>PT</t>
  </si>
  <si>
    <t>PRT</t>
  </si>
  <si>
    <t>SK</t>
  </si>
  <si>
    <t>SVK</t>
  </si>
  <si>
    <t>SI</t>
  </si>
  <si>
    <t>SVN</t>
  </si>
  <si>
    <t>SE</t>
  </si>
  <si>
    <t>SWE</t>
  </si>
  <si>
    <t>RO</t>
  </si>
  <si>
    <t>ROU</t>
  </si>
  <si>
    <t>HR</t>
  </si>
  <si>
    <t>CRO</t>
  </si>
  <si>
    <t>[taxrevaddMSM]</t>
  </si>
  <si>
    <t>TRA</t>
  </si>
  <si>
    <t>Welfare</t>
  </si>
  <si>
    <t>dINC</t>
  </si>
  <si>
    <t>Tab</t>
  </si>
  <si>
    <t>Description</t>
  </si>
  <si>
    <t>Unit</t>
  </si>
  <si>
    <t>EUR 2015</t>
  </si>
  <si>
    <t>% of total household expenditures</t>
  </si>
  <si>
    <t>% change relative to baseline</t>
  </si>
  <si>
    <t>pchange</t>
  </si>
  <si>
    <t>Expenditure side: Price changes</t>
  </si>
  <si>
    <t>Additional tax revenue from carbon pricing that can be redistributed to the households</t>
  </si>
  <si>
    <t>Micro-consistent welfare metric, decomposed into 4 components and total welfare</t>
  </si>
  <si>
    <t>exp</t>
  </si>
  <si>
    <t>fac</t>
  </si>
  <si>
    <t>tra_carbon</t>
  </si>
  <si>
    <t>tot</t>
  </si>
  <si>
    <t>eu27_2020</t>
  </si>
  <si>
    <t>eu25_hbs2015</t>
  </si>
  <si>
    <t xml:space="preserve">          exp:   expenditure side</t>
  </si>
  <si>
    <t xml:space="preserve">          fac:    factor income side</t>
  </si>
  <si>
    <t xml:space="preserve">          tra_carbon: transfer from additional carbon pricing revenue</t>
  </si>
  <si>
    <t>Aggregate for all EU27 countries</t>
  </si>
  <si>
    <t>Aggregate for the 25 countries in the harmonised EU HBS (excl. SWE and AUT)</t>
  </si>
  <si>
    <t>lab</t>
  </si>
  <si>
    <t xml:space="preserve">          tot: total impact</t>
  </si>
  <si>
    <t xml:space="preserve">          lab: labour</t>
  </si>
  <si>
    <t xml:space="preserve">Income change for two factors: </t>
  </si>
  <si>
    <t>Abbreviations</t>
  </si>
  <si>
    <t xml:space="preserve">          cap: capital (based on capital value added, including windfall profits)</t>
  </si>
  <si>
    <t>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</si>
</sst>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0"/>
    <numFmt numFmtId="166" formatCode="0.0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0" xfId="1"/>
    <xf numFmtId="164" fontId="0" fillId="0" borderId="0" xfId="0" applyNumberFormat="1"/>
    <xf numFmtId="166" fontId="0" fillId="0" borderId="0" xfId="0" applyNumberFormat="1"/>
    <xf numFmtId="0" fontId="3" fillId="0" borderId="0" xfId="0" applyFont="1"/>
    <xf numFmtId="165" fontId="3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6C48A-D3E3-45DC-8952-BB64A54DB606}">
  <dimension ref="A1:C20"/>
  <sheetViews>
    <sheetView tabSelected="1" workbookViewId="0"/>
  </sheetViews>
  <sheetFormatPr defaultRowHeight="15" x14ac:dyDescent="0.25"/>
  <cols>
    <col min="1" max="1" width="13.5703125" bestFit="1" customWidth="1"/>
    <col min="2" max="2" width="87.140625" bestFit="1" customWidth="1"/>
    <col min="3" max="3" width="32.28515625" bestFit="1" customWidth="1"/>
  </cols>
  <sheetData>
    <row r="1" spans="1:3" s="1" customFormat="1" x14ac:dyDescent="0.25">
      <c r="A1" s="1" t="s">
        <v>65</v>
      </c>
      <c r="B1" s="1" t="s">
        <v>66</v>
      </c>
      <c r="C1" s="1" t="s">
        <v>67</v>
      </c>
    </row>
    <row r="3" spans="1:3" x14ac:dyDescent="0.25">
      <c r="A3" s="2" t="s">
        <v>62</v>
      </c>
      <c r="B3" t="s">
        <v>73</v>
      </c>
      <c r="C3" t="s">
        <v>68</v>
      </c>
    </row>
    <row r="4" spans="1:3" x14ac:dyDescent="0.25">
      <c r="A4" s="2" t="s">
        <v>63</v>
      </c>
      <c r="B4" t="s">
        <v>74</v>
      </c>
      <c r="C4" t="s">
        <v>69</v>
      </c>
    </row>
    <row r="5" spans="1:3" x14ac:dyDescent="0.25">
      <c r="B5" t="s">
        <v>81</v>
      </c>
    </row>
    <row r="6" spans="1:3" x14ac:dyDescent="0.25">
      <c r="B6" t="s">
        <v>82</v>
      </c>
    </row>
    <row r="7" spans="1:3" x14ac:dyDescent="0.25">
      <c r="B7" t="s">
        <v>83</v>
      </c>
    </row>
    <row r="8" spans="1:3" x14ac:dyDescent="0.25">
      <c r="B8" t="s">
        <v>87</v>
      </c>
    </row>
    <row r="10" spans="1:3" x14ac:dyDescent="0.25">
      <c r="A10" s="2" t="s">
        <v>64</v>
      </c>
      <c r="B10" t="s">
        <v>89</v>
      </c>
      <c r="C10" t="s">
        <v>70</v>
      </c>
    </row>
    <row r="11" spans="1:3" x14ac:dyDescent="0.25">
      <c r="B11" t="s">
        <v>91</v>
      </c>
    </row>
    <row r="12" spans="1:3" x14ac:dyDescent="0.25">
      <c r="B12" t="s">
        <v>88</v>
      </c>
    </row>
    <row r="14" spans="1:3" x14ac:dyDescent="0.25">
      <c r="A14" s="2" t="s">
        <v>71</v>
      </c>
      <c r="B14" t="s">
        <v>72</v>
      </c>
      <c r="C14" t="s">
        <v>70</v>
      </c>
    </row>
    <row r="18" spans="1:2" x14ac:dyDescent="0.25">
      <c r="A18" t="s">
        <v>90</v>
      </c>
    </row>
    <row r="19" spans="1:2" x14ac:dyDescent="0.25">
      <c r="A19" t="s">
        <v>79</v>
      </c>
      <c r="B19" t="s">
        <v>84</v>
      </c>
    </row>
    <row r="20" spans="1:2" x14ac:dyDescent="0.25">
      <c r="A20" t="s">
        <v>80</v>
      </c>
      <c r="B20" t="s">
        <v>85</v>
      </c>
    </row>
  </sheetData>
  <hyperlinks>
    <hyperlink ref="A3" location="TRA!A1" display="TRA" xr:uid="{17EAE6A6-E14F-4C78-A378-AD36A9A01BBB}"/>
    <hyperlink ref="A4" location="Welfare!A1" display="Welfare" xr:uid="{0ECD92BF-EA08-422A-8015-143DC361B9A9}"/>
    <hyperlink ref="A10" location="dINC!A1" display="dINC" xr:uid="{889E3575-8A55-4728-9B72-29BFFCB02FF9}"/>
    <hyperlink ref="A14" location="pchange!A1" display="pchange" xr:uid="{492468C1-5C5A-4C5C-8E67-4C9AA75EF85B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zoomScale="85" zoomScaleNormal="85" workbookViewId="0"/>
  </sheetViews>
  <sheetFormatPr defaultRowHeight="15" x14ac:dyDescent="0.25"/>
  <cols>
    <col min="4" max="4" width="9.7109375" bestFit="1" customWidth="1"/>
    <col min="5" max="5" width="10.42578125" bestFit="1" customWidth="1"/>
    <col min="6" max="6" width="11.42578125" bestFit="1" customWidth="1"/>
  </cols>
  <sheetData>
    <row r="1" spans="1:6" x14ac:dyDescent="0.25">
      <c r="A1" t="s">
        <v>0</v>
      </c>
    </row>
    <row r="2" spans="1:6" x14ac:dyDescent="0.25">
      <c r="A2" t="s">
        <v>61</v>
      </c>
    </row>
    <row r="3" spans="1:6" x14ac:dyDescent="0.25">
      <c r="C3" t="s">
        <v>1</v>
      </c>
      <c r="D3" t="s">
        <v>2</v>
      </c>
      <c r="E3" t="s">
        <v>3</v>
      </c>
      <c r="F3" t="s">
        <v>4</v>
      </c>
    </row>
    <row r="4" spans="1:6" x14ac:dyDescent="0.25">
      <c r="A4" t="s">
        <v>5</v>
      </c>
      <c r="B4" t="s">
        <v>6</v>
      </c>
      <c r="C4">
        <v>0</v>
      </c>
      <c r="D4" s="4">
        <v>1.17818</v>
      </c>
      <c r="E4" s="4">
        <v>0.31246800000000002</v>
      </c>
      <c r="F4" s="4">
        <v>0.66325000000000001</v>
      </c>
    </row>
    <row r="5" spans="1:6" x14ac:dyDescent="0.25">
      <c r="A5" t="s">
        <v>7</v>
      </c>
      <c r="B5" t="s">
        <v>8</v>
      </c>
      <c r="C5">
        <v>0</v>
      </c>
      <c r="D5" s="4">
        <v>2.1560199999999998</v>
      </c>
      <c r="E5" s="4">
        <v>0.82984500000000005</v>
      </c>
      <c r="F5" s="4">
        <v>1.3885099999999999</v>
      </c>
    </row>
    <row r="6" spans="1:6" x14ac:dyDescent="0.25">
      <c r="A6" t="s">
        <v>9</v>
      </c>
      <c r="B6" t="s">
        <v>10</v>
      </c>
      <c r="C6">
        <v>0</v>
      </c>
      <c r="D6" s="4">
        <v>0.18127399999999999</v>
      </c>
      <c r="E6" s="4">
        <v>1.5694900000000001E-2</v>
      </c>
      <c r="F6" s="4">
        <v>3.1593299999999998E-2</v>
      </c>
    </row>
    <row r="7" spans="1:6" x14ac:dyDescent="0.25">
      <c r="A7" t="s">
        <v>11</v>
      </c>
      <c r="B7" t="s">
        <v>12</v>
      </c>
      <c r="C7">
        <v>0</v>
      </c>
      <c r="D7" s="4">
        <v>6.4618499999999995E-2</v>
      </c>
      <c r="E7" s="4">
        <v>1.7661E-2</v>
      </c>
      <c r="F7" s="4">
        <v>4.0573400000000003E-2</v>
      </c>
    </row>
    <row r="8" spans="1:6" x14ac:dyDescent="0.25">
      <c r="A8" t="s">
        <v>13</v>
      </c>
      <c r="B8" t="s">
        <v>14</v>
      </c>
      <c r="C8">
        <v>0</v>
      </c>
      <c r="D8" s="4">
        <v>0.64183599999999996</v>
      </c>
      <c r="E8" s="4">
        <v>0.47020400000000001</v>
      </c>
      <c r="F8" s="4">
        <v>0.38983699999999999</v>
      </c>
    </row>
    <row r="9" spans="1:6" x14ac:dyDescent="0.25">
      <c r="A9" t="s">
        <v>15</v>
      </c>
      <c r="B9" t="s">
        <v>16</v>
      </c>
      <c r="C9">
        <v>0</v>
      </c>
      <c r="D9" s="4">
        <v>7.9196</v>
      </c>
      <c r="E9" s="4">
        <v>1.3654599999999999</v>
      </c>
      <c r="F9" s="4">
        <v>4.4909100000000004</v>
      </c>
    </row>
    <row r="10" spans="1:6" x14ac:dyDescent="0.25">
      <c r="A10" t="s">
        <v>17</v>
      </c>
      <c r="B10" t="s">
        <v>18</v>
      </c>
      <c r="C10">
        <v>0</v>
      </c>
      <c r="D10" s="4">
        <v>0.44091000000000002</v>
      </c>
      <c r="E10" s="4">
        <v>0.15126100000000001</v>
      </c>
      <c r="F10" s="4">
        <v>0.30704999999999999</v>
      </c>
    </row>
    <row r="11" spans="1:6" x14ac:dyDescent="0.25">
      <c r="A11" t="s">
        <v>19</v>
      </c>
      <c r="B11" t="s">
        <v>20</v>
      </c>
      <c r="C11">
        <v>0</v>
      </c>
      <c r="D11" s="4">
        <v>3.6869900000000002</v>
      </c>
      <c r="E11" s="4">
        <v>1.0938399999999999</v>
      </c>
      <c r="F11" s="4">
        <v>2.3016200000000002</v>
      </c>
    </row>
    <row r="12" spans="1:6" x14ac:dyDescent="0.25">
      <c r="A12" t="s">
        <v>21</v>
      </c>
      <c r="B12" t="s">
        <v>22</v>
      </c>
      <c r="C12">
        <v>0</v>
      </c>
      <c r="D12" s="4">
        <v>4.6794799999999998E-2</v>
      </c>
      <c r="E12" s="4">
        <v>-1.8588799999999999E-2</v>
      </c>
      <c r="F12" s="4">
        <v>0</v>
      </c>
    </row>
    <row r="13" spans="1:6" x14ac:dyDescent="0.25">
      <c r="A13" t="s">
        <v>23</v>
      </c>
      <c r="B13" t="s">
        <v>24</v>
      </c>
      <c r="C13">
        <v>0</v>
      </c>
      <c r="D13" s="4">
        <v>0.45395600000000003</v>
      </c>
      <c r="E13" s="4">
        <v>0.103335</v>
      </c>
      <c r="F13" s="4">
        <v>0.29875699999999999</v>
      </c>
    </row>
    <row r="14" spans="1:6" x14ac:dyDescent="0.25">
      <c r="A14" t="s">
        <v>25</v>
      </c>
      <c r="B14" t="s">
        <v>26</v>
      </c>
      <c r="C14">
        <v>0</v>
      </c>
      <c r="D14" s="4">
        <v>6.2586199999999996</v>
      </c>
      <c r="E14" s="4">
        <v>1.9855700000000001</v>
      </c>
      <c r="F14" s="4">
        <v>3.9741399999999998</v>
      </c>
    </row>
    <row r="15" spans="1:6" x14ac:dyDescent="0.25">
      <c r="A15" t="s">
        <v>27</v>
      </c>
      <c r="B15" t="s">
        <v>28</v>
      </c>
      <c r="C15">
        <v>0</v>
      </c>
      <c r="D15" s="4">
        <v>2.17523</v>
      </c>
      <c r="E15" s="4">
        <v>2.0972300000000001</v>
      </c>
      <c r="F15" s="4">
        <v>2.16635</v>
      </c>
    </row>
    <row r="16" spans="1:6" x14ac:dyDescent="0.25">
      <c r="A16" t="s">
        <v>29</v>
      </c>
      <c r="B16" t="s">
        <v>30</v>
      </c>
      <c r="C16">
        <v>0</v>
      </c>
      <c r="D16" s="4">
        <v>0.81867100000000004</v>
      </c>
      <c r="E16" s="4">
        <v>0.13405300000000001</v>
      </c>
      <c r="F16" s="4">
        <v>0.40930100000000003</v>
      </c>
    </row>
    <row r="17" spans="1:6" x14ac:dyDescent="0.25">
      <c r="A17" t="s">
        <v>31</v>
      </c>
      <c r="B17" t="s">
        <v>32</v>
      </c>
      <c r="C17">
        <v>0</v>
      </c>
      <c r="D17" s="4">
        <v>0.545539</v>
      </c>
      <c r="E17" s="4">
        <v>0.101483</v>
      </c>
      <c r="F17" s="4">
        <v>0.36424499999999999</v>
      </c>
    </row>
    <row r="18" spans="1:6" x14ac:dyDescent="0.25">
      <c r="A18" t="s">
        <v>33</v>
      </c>
      <c r="B18" t="s">
        <v>34</v>
      </c>
      <c r="C18">
        <v>0</v>
      </c>
      <c r="D18" s="4">
        <v>0.40503</v>
      </c>
      <c r="E18" s="4">
        <v>9.3108700000000003E-2</v>
      </c>
      <c r="F18" s="4">
        <v>0.27451799999999998</v>
      </c>
    </row>
    <row r="19" spans="1:6" x14ac:dyDescent="0.25">
      <c r="A19" t="s">
        <v>35</v>
      </c>
      <c r="B19" t="s">
        <v>36</v>
      </c>
      <c r="C19">
        <v>0</v>
      </c>
      <c r="D19" s="4">
        <v>6.1163600000000002</v>
      </c>
      <c r="E19" s="4">
        <v>1.6043700000000001</v>
      </c>
      <c r="F19" s="4">
        <v>4.1138700000000004</v>
      </c>
    </row>
    <row r="20" spans="1:6" x14ac:dyDescent="0.25">
      <c r="A20" t="s">
        <v>37</v>
      </c>
      <c r="B20" t="s">
        <v>38</v>
      </c>
      <c r="C20">
        <v>0</v>
      </c>
      <c r="D20" s="4">
        <v>0.20139699999999999</v>
      </c>
      <c r="E20" s="4">
        <v>6.5927799999999995E-2</v>
      </c>
      <c r="F20" s="4">
        <v>0.13292899999999999</v>
      </c>
    </row>
    <row r="21" spans="1:6" x14ac:dyDescent="0.25">
      <c r="A21" t="s">
        <v>39</v>
      </c>
      <c r="B21" t="s">
        <v>40</v>
      </c>
      <c r="C21">
        <v>0</v>
      </c>
      <c r="D21" s="4">
        <v>0.28402300000000003</v>
      </c>
      <c r="E21" s="4">
        <v>5.6968999999999999E-2</v>
      </c>
      <c r="F21" s="4">
        <v>0.20147999999999999</v>
      </c>
    </row>
    <row r="22" spans="1:6" x14ac:dyDescent="0.25">
      <c r="A22" t="s">
        <v>41</v>
      </c>
      <c r="B22" t="s">
        <v>42</v>
      </c>
      <c r="C22">
        <v>0</v>
      </c>
      <c r="D22" s="4">
        <v>0.14171400000000001</v>
      </c>
      <c r="E22" s="4">
        <v>6.0834800000000001E-2</v>
      </c>
      <c r="F22" s="4">
        <v>7.3173799999999997E-2</v>
      </c>
    </row>
    <row r="23" spans="1:6" x14ac:dyDescent="0.25">
      <c r="A23" t="s">
        <v>43</v>
      </c>
      <c r="B23" t="s">
        <v>44</v>
      </c>
      <c r="C23">
        <v>0</v>
      </c>
      <c r="D23" s="4">
        <v>3.1836999999999997E-2</v>
      </c>
      <c r="E23" s="4">
        <v>9.4153499999999994E-3</v>
      </c>
      <c r="F23" s="4">
        <v>1.91115E-2</v>
      </c>
    </row>
    <row r="24" spans="1:6" x14ac:dyDescent="0.25">
      <c r="A24" t="s">
        <v>45</v>
      </c>
      <c r="B24" t="s">
        <v>46</v>
      </c>
      <c r="C24">
        <v>0</v>
      </c>
      <c r="D24" s="4">
        <v>1.6858299999999999</v>
      </c>
      <c r="E24" s="4">
        <v>0.36978899999999998</v>
      </c>
      <c r="F24" s="4">
        <v>1.03102</v>
      </c>
    </row>
    <row r="25" spans="1:6" x14ac:dyDescent="0.25">
      <c r="A25" t="s">
        <v>47</v>
      </c>
      <c r="B25" t="s">
        <v>48</v>
      </c>
      <c r="C25">
        <v>0</v>
      </c>
      <c r="D25" s="4">
        <v>2.0823</v>
      </c>
      <c r="E25" s="4">
        <v>0.30405500000000002</v>
      </c>
      <c r="F25" s="4">
        <v>1.0159</v>
      </c>
    </row>
    <row r="26" spans="1:6" x14ac:dyDescent="0.25">
      <c r="A26" t="s">
        <v>49</v>
      </c>
      <c r="B26" t="s">
        <v>50</v>
      </c>
      <c r="C26">
        <v>0</v>
      </c>
      <c r="D26" s="4">
        <v>0.59138100000000005</v>
      </c>
      <c r="E26" s="4">
        <v>0.19218199999999999</v>
      </c>
      <c r="F26" s="4">
        <v>0.41422700000000001</v>
      </c>
    </row>
    <row r="27" spans="1:6" x14ac:dyDescent="0.25">
      <c r="A27" t="s">
        <v>51</v>
      </c>
      <c r="B27" t="s">
        <v>52</v>
      </c>
      <c r="C27">
        <v>0</v>
      </c>
      <c r="D27" s="4">
        <v>0.33232600000000001</v>
      </c>
      <c r="E27" s="4">
        <v>5.3476700000000002E-2</v>
      </c>
      <c r="F27" s="4">
        <v>0.18825</v>
      </c>
    </row>
    <row r="28" spans="1:6" x14ac:dyDescent="0.25">
      <c r="A28" t="s">
        <v>53</v>
      </c>
      <c r="B28" t="s">
        <v>54</v>
      </c>
      <c r="C28">
        <v>0</v>
      </c>
      <c r="D28" s="4">
        <v>0.11311300000000001</v>
      </c>
      <c r="E28" s="4">
        <v>3.0222300000000001E-2</v>
      </c>
      <c r="F28" s="4">
        <v>6.9718100000000005E-2</v>
      </c>
    </row>
    <row r="29" spans="1:6" x14ac:dyDescent="0.25">
      <c r="A29" t="s">
        <v>55</v>
      </c>
      <c r="B29" t="s">
        <v>56</v>
      </c>
      <c r="C29">
        <v>0</v>
      </c>
      <c r="D29" s="4">
        <v>0.50595299999999999</v>
      </c>
      <c r="E29" s="4">
        <v>0.167737</v>
      </c>
      <c r="F29" s="4">
        <v>0.35192899999999999</v>
      </c>
    </row>
    <row r="30" spans="1:6" x14ac:dyDescent="0.25">
      <c r="A30" t="s">
        <v>57</v>
      </c>
      <c r="B30" t="s">
        <v>58</v>
      </c>
      <c r="C30">
        <v>0</v>
      </c>
      <c r="D30" s="4">
        <v>0.47212500000000002</v>
      </c>
      <c r="E30" s="4">
        <v>0.112426</v>
      </c>
      <c r="F30" s="4">
        <v>0.275563</v>
      </c>
    </row>
    <row r="31" spans="1:6" x14ac:dyDescent="0.25">
      <c r="A31" t="s">
        <v>59</v>
      </c>
      <c r="B31" t="s">
        <v>60</v>
      </c>
      <c r="C31">
        <v>0</v>
      </c>
      <c r="D31" s="4">
        <v>0.24552099999999999</v>
      </c>
      <c r="E31" s="4">
        <v>6.3202599999999998E-2</v>
      </c>
      <c r="F31" s="4">
        <v>0.16389400000000001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88BC8-8F23-4713-84B3-74C52DB93013}">
  <dimension ref="A1:S32"/>
  <sheetViews>
    <sheetView zoomScale="85" zoomScaleNormal="85" workbookViewId="0">
      <selection activeCell="L9" sqref="L9"/>
    </sheetView>
  </sheetViews>
  <sheetFormatPr defaultRowHeight="15" x14ac:dyDescent="0.25"/>
  <cols>
    <col min="1" max="1" width="13.5703125" bestFit="1" customWidth="1"/>
    <col min="9" max="9" width="12.85546875" bestFit="1" customWidth="1"/>
  </cols>
  <sheetData>
    <row r="1" spans="1:19" x14ac:dyDescent="0.25">
      <c r="C1" t="s">
        <v>1</v>
      </c>
      <c r="D1" t="s">
        <v>1</v>
      </c>
      <c r="E1" t="s">
        <v>1</v>
      </c>
      <c r="F1" t="s">
        <v>1</v>
      </c>
      <c r="G1" t="s">
        <v>2</v>
      </c>
      <c r="H1" t="s">
        <v>2</v>
      </c>
      <c r="I1" t="s">
        <v>2</v>
      </c>
      <c r="J1" t="s">
        <v>2</v>
      </c>
      <c r="K1" t="s">
        <v>3</v>
      </c>
      <c r="L1" t="s">
        <v>3</v>
      </c>
      <c r="M1" t="s">
        <v>3</v>
      </c>
      <c r="N1" t="s">
        <v>3</v>
      </c>
      <c r="O1" t="s">
        <v>4</v>
      </c>
      <c r="P1" t="s">
        <v>4</v>
      </c>
      <c r="Q1" t="s">
        <v>4</v>
      </c>
      <c r="R1" t="s">
        <v>4</v>
      </c>
    </row>
    <row r="2" spans="1:19" x14ac:dyDescent="0.25">
      <c r="C2" t="s">
        <v>75</v>
      </c>
      <c r="D2" t="s">
        <v>76</v>
      </c>
      <c r="E2" t="s">
        <v>77</v>
      </c>
      <c r="F2" t="s">
        <v>78</v>
      </c>
      <c r="G2" t="s">
        <v>75</v>
      </c>
      <c r="H2" t="s">
        <v>76</v>
      </c>
      <c r="I2" t="s">
        <v>77</v>
      </c>
      <c r="J2" t="s">
        <v>78</v>
      </c>
      <c r="K2" t="s">
        <v>75</v>
      </c>
      <c r="L2" t="s">
        <v>76</v>
      </c>
      <c r="M2" t="s">
        <v>77</v>
      </c>
      <c r="N2" t="s">
        <v>78</v>
      </c>
      <c r="O2" t="s">
        <v>75</v>
      </c>
      <c r="P2" t="s">
        <v>76</v>
      </c>
      <c r="Q2" t="s">
        <v>77</v>
      </c>
      <c r="R2" t="s">
        <v>78</v>
      </c>
    </row>
    <row r="3" spans="1:19" x14ac:dyDescent="0.25">
      <c r="A3" t="s">
        <v>6</v>
      </c>
      <c r="B3">
        <v>2030</v>
      </c>
      <c r="C3" s="3">
        <v>-0.20852899999999999</v>
      </c>
      <c r="D3" s="3">
        <v>-1.57226E-2</v>
      </c>
      <c r="E3">
        <v>0</v>
      </c>
      <c r="F3" s="3">
        <f t="shared" ref="F3:F32" si="0">SUM(C3:E3)</f>
        <v>-0.2242516</v>
      </c>
      <c r="G3" s="3">
        <v>-0.68342899999999995</v>
      </c>
      <c r="H3" s="3">
        <v>-0.57427499999999998</v>
      </c>
      <c r="I3" s="3">
        <v>0.55324300000000004</v>
      </c>
      <c r="J3" s="3">
        <f t="shared" ref="J3:J32" si="1">SUM(G3:I3)</f>
        <v>-0.70446099999999989</v>
      </c>
      <c r="K3" s="3">
        <v>-0.29019299999999998</v>
      </c>
      <c r="L3" s="3">
        <v>-0.229268</v>
      </c>
      <c r="M3" s="3">
        <v>0.14671500000000001</v>
      </c>
      <c r="N3" s="3">
        <f t="shared" ref="N3:N32" si="2">SUM(K3:M3)</f>
        <v>-0.37274599999999991</v>
      </c>
      <c r="O3" s="3">
        <v>-0.44776500000000002</v>
      </c>
      <c r="P3" s="3">
        <v>-0.229268</v>
      </c>
      <c r="Q3" s="3">
        <v>0.311444</v>
      </c>
      <c r="R3" s="3">
        <f t="shared" ref="R3:R32" si="3">SUM(O3:Q3)</f>
        <v>-0.365589</v>
      </c>
      <c r="S3" s="3"/>
    </row>
    <row r="4" spans="1:19" x14ac:dyDescent="0.25">
      <c r="A4" t="s">
        <v>8</v>
      </c>
      <c r="B4">
        <v>2030</v>
      </c>
      <c r="C4" s="3">
        <v>-0.29753499999999999</v>
      </c>
      <c r="D4" s="3">
        <v>2.8112600000000001E-2</v>
      </c>
      <c r="E4">
        <v>0</v>
      </c>
      <c r="F4" s="3">
        <f t="shared" si="0"/>
        <v>-0.26942240000000001</v>
      </c>
      <c r="G4" s="3">
        <v>-0.71154200000000001</v>
      </c>
      <c r="H4" s="3">
        <v>-0.38836999999999999</v>
      </c>
      <c r="I4" s="3">
        <v>0.83365199999999995</v>
      </c>
      <c r="J4" s="3">
        <f t="shared" si="1"/>
        <v>-0.26626000000000005</v>
      </c>
      <c r="K4" s="3">
        <v>-0.31171900000000002</v>
      </c>
      <c r="L4" s="3">
        <v>-0.32378299999999999</v>
      </c>
      <c r="M4" s="3">
        <v>0.32090800000000003</v>
      </c>
      <c r="N4" s="3">
        <f t="shared" si="2"/>
        <v>-0.31459399999999998</v>
      </c>
      <c r="O4" s="3">
        <v>-0.51113200000000003</v>
      </c>
      <c r="P4" s="3">
        <v>-0.32378299999999999</v>
      </c>
      <c r="Q4" s="3">
        <v>0.53688499999999995</v>
      </c>
      <c r="R4" s="3">
        <f t="shared" si="3"/>
        <v>-0.29803000000000013</v>
      </c>
      <c r="S4" s="3"/>
    </row>
    <row r="5" spans="1:19" x14ac:dyDescent="0.25">
      <c r="A5" t="s">
        <v>10</v>
      </c>
      <c r="B5">
        <v>2030</v>
      </c>
      <c r="C5" s="3">
        <v>-0.219139</v>
      </c>
      <c r="D5" s="3">
        <v>0.47994900000000001</v>
      </c>
      <c r="E5">
        <v>0</v>
      </c>
      <c r="F5" s="3">
        <f t="shared" si="0"/>
        <v>0.26080999999999999</v>
      </c>
      <c r="G5" s="3">
        <v>-0.66545600000000005</v>
      </c>
      <c r="H5" s="3">
        <v>0.75043099999999996</v>
      </c>
      <c r="I5" s="3">
        <v>0.68448600000000004</v>
      </c>
      <c r="J5" s="3">
        <f t="shared" si="1"/>
        <v>0.76946099999999995</v>
      </c>
      <c r="K5" s="3">
        <v>-0.64730600000000005</v>
      </c>
      <c r="L5" s="3">
        <v>-0.202456</v>
      </c>
      <c r="M5" s="3">
        <v>5.9259100000000002E-2</v>
      </c>
      <c r="N5" s="3">
        <f t="shared" si="2"/>
        <v>-0.79050290000000001</v>
      </c>
      <c r="O5" s="3">
        <v>-0.70859099999999997</v>
      </c>
      <c r="P5" s="3">
        <v>-0.202456</v>
      </c>
      <c r="Q5" s="3">
        <v>0.119295</v>
      </c>
      <c r="R5" s="3">
        <f t="shared" si="3"/>
        <v>-0.7917519999999999</v>
      </c>
      <c r="S5" s="3"/>
    </row>
    <row r="6" spans="1:19" x14ac:dyDescent="0.25">
      <c r="A6" t="s">
        <v>12</v>
      </c>
      <c r="B6">
        <v>2030</v>
      </c>
      <c r="C6" s="3">
        <v>-0.37407200000000002</v>
      </c>
      <c r="D6" s="3">
        <v>0.12872</v>
      </c>
      <c r="E6">
        <v>0</v>
      </c>
      <c r="F6" s="3">
        <f t="shared" si="0"/>
        <v>-0.24535200000000001</v>
      </c>
      <c r="G6" s="3">
        <v>-0.74522900000000003</v>
      </c>
      <c r="H6" s="3">
        <v>0.29071000000000002</v>
      </c>
      <c r="I6" s="3">
        <v>0.60120200000000001</v>
      </c>
      <c r="J6" s="3">
        <f t="shared" si="1"/>
        <v>0.14668300000000001</v>
      </c>
      <c r="K6" s="3">
        <v>-0.37900400000000001</v>
      </c>
      <c r="L6" s="3">
        <v>0.16483</v>
      </c>
      <c r="M6" s="3">
        <v>0.16431100000000001</v>
      </c>
      <c r="N6" s="3">
        <f t="shared" si="2"/>
        <v>-4.9862999999999991E-2</v>
      </c>
      <c r="O6" s="3">
        <v>-0.56878099999999998</v>
      </c>
      <c r="P6" s="3">
        <v>0.16483</v>
      </c>
      <c r="Q6" s="3">
        <v>0.37748999999999999</v>
      </c>
      <c r="R6" s="3">
        <f t="shared" si="3"/>
        <v>-2.6460999999999957E-2</v>
      </c>
      <c r="S6" s="3"/>
    </row>
    <row r="7" spans="1:19" x14ac:dyDescent="0.25">
      <c r="A7" t="s">
        <v>14</v>
      </c>
      <c r="B7">
        <v>2030</v>
      </c>
      <c r="C7" s="3">
        <v>-0.42233799999999999</v>
      </c>
      <c r="D7" s="3">
        <v>-0.53989100000000001</v>
      </c>
      <c r="E7">
        <v>0</v>
      </c>
      <c r="F7" s="3">
        <f t="shared" si="0"/>
        <v>-0.962229</v>
      </c>
      <c r="G7" s="3">
        <v>-1.00319</v>
      </c>
      <c r="H7" s="3">
        <v>-0.68034899999999998</v>
      </c>
      <c r="I7" s="3">
        <v>0.80801900000000004</v>
      </c>
      <c r="J7" s="3">
        <f t="shared" si="1"/>
        <v>-0.87552000000000008</v>
      </c>
      <c r="K7" s="3">
        <v>-0.82933900000000005</v>
      </c>
      <c r="L7" s="3">
        <v>-0.973329</v>
      </c>
      <c r="M7" s="3">
        <v>0.59189400000000003</v>
      </c>
      <c r="N7" s="3">
        <f t="shared" si="2"/>
        <v>-1.2107740000000002</v>
      </c>
      <c r="O7" s="3">
        <v>-0.82158100000000001</v>
      </c>
      <c r="P7" s="3">
        <v>-0.973329</v>
      </c>
      <c r="Q7" s="3">
        <v>0.49077300000000001</v>
      </c>
      <c r="R7" s="3">
        <f t="shared" si="3"/>
        <v>-1.3041369999999999</v>
      </c>
      <c r="S7" s="3"/>
    </row>
    <row r="8" spans="1:19" x14ac:dyDescent="0.25">
      <c r="A8" t="s">
        <v>16</v>
      </c>
      <c r="B8">
        <v>2030</v>
      </c>
      <c r="C8" s="3">
        <v>-0.32338800000000001</v>
      </c>
      <c r="D8" s="3">
        <v>0.167402</v>
      </c>
      <c r="E8">
        <v>0</v>
      </c>
      <c r="F8" s="3">
        <f t="shared" si="0"/>
        <v>-0.15598600000000001</v>
      </c>
      <c r="G8" s="3">
        <v>-0.77052799999999999</v>
      </c>
      <c r="H8" s="3">
        <v>-0.21897900000000001</v>
      </c>
      <c r="I8" s="3">
        <v>0.44796599999999998</v>
      </c>
      <c r="J8" s="3">
        <f t="shared" si="1"/>
        <v>-0.54154100000000005</v>
      </c>
      <c r="K8" s="3">
        <v>-0.41891899999999999</v>
      </c>
      <c r="L8" s="3">
        <v>-6.14957E-2</v>
      </c>
      <c r="M8" s="3">
        <v>7.7235899999999996E-2</v>
      </c>
      <c r="N8" s="3">
        <f t="shared" si="2"/>
        <v>-0.40317879999999995</v>
      </c>
      <c r="O8" s="3">
        <v>-0.54655600000000004</v>
      </c>
      <c r="P8" s="3">
        <v>-6.14957E-2</v>
      </c>
      <c r="Q8" s="3">
        <v>0.254025</v>
      </c>
      <c r="R8" s="3">
        <f t="shared" si="3"/>
        <v>-0.35402670000000008</v>
      </c>
      <c r="S8" s="3"/>
    </row>
    <row r="9" spans="1:19" x14ac:dyDescent="0.25">
      <c r="A9" t="s">
        <v>18</v>
      </c>
      <c r="B9">
        <v>2030</v>
      </c>
      <c r="C9" s="3">
        <v>-0.219385</v>
      </c>
      <c r="D9" s="3">
        <v>7.6248099999999999E-2</v>
      </c>
      <c r="E9">
        <v>0</v>
      </c>
      <c r="F9" s="3">
        <f t="shared" si="0"/>
        <v>-0.14313690000000001</v>
      </c>
      <c r="G9" s="3">
        <v>-0.69562599999999997</v>
      </c>
      <c r="H9" s="3">
        <v>-9.2116500000000004E-2</v>
      </c>
      <c r="I9" s="3">
        <v>0.29006500000000002</v>
      </c>
      <c r="J9" s="3">
        <f t="shared" si="1"/>
        <v>-0.49767749999999999</v>
      </c>
      <c r="K9" s="3">
        <v>-0.20680999999999999</v>
      </c>
      <c r="L9" s="3">
        <v>-3.9284100000000002E-2</v>
      </c>
      <c r="M9" s="3">
        <v>9.9504099999999998E-2</v>
      </c>
      <c r="N9" s="3">
        <f t="shared" si="2"/>
        <v>-0.14659</v>
      </c>
      <c r="O9" s="3">
        <v>-0.30877599999999999</v>
      </c>
      <c r="P9" s="3">
        <v>-3.9284100000000002E-2</v>
      </c>
      <c r="Q9" s="3">
        <v>0.20200099999999999</v>
      </c>
      <c r="R9" s="3">
        <f t="shared" si="3"/>
        <v>-0.1460591</v>
      </c>
      <c r="S9" s="3"/>
    </row>
    <row r="10" spans="1:19" x14ac:dyDescent="0.25">
      <c r="A10" t="s">
        <v>20</v>
      </c>
      <c r="B10">
        <v>2030</v>
      </c>
      <c r="C10" s="3">
        <v>-0.57925899999999997</v>
      </c>
      <c r="D10" s="3">
        <v>2.9970400000000001E-2</v>
      </c>
      <c r="E10">
        <v>0</v>
      </c>
      <c r="F10" s="3">
        <f t="shared" si="0"/>
        <v>-0.54928860000000002</v>
      </c>
      <c r="G10" s="3">
        <v>-0.55326900000000001</v>
      </c>
      <c r="H10" s="3">
        <v>-0.32428299999999999</v>
      </c>
      <c r="I10" s="3">
        <v>0.56982100000000002</v>
      </c>
      <c r="J10" s="3">
        <f t="shared" si="1"/>
        <v>-0.30773099999999998</v>
      </c>
      <c r="K10" s="3">
        <v>-0.47297400000000001</v>
      </c>
      <c r="L10" s="3">
        <v>-0.161052</v>
      </c>
      <c r="M10" s="3">
        <v>0.169045</v>
      </c>
      <c r="N10" s="3">
        <f t="shared" si="2"/>
        <v>-0.46498099999999998</v>
      </c>
      <c r="O10" s="3">
        <v>-0.65402499999999997</v>
      </c>
      <c r="P10" s="3">
        <v>-0.161052</v>
      </c>
      <c r="Q10" s="3">
        <v>0.35571399999999997</v>
      </c>
      <c r="R10" s="3">
        <f t="shared" si="3"/>
        <v>-0.45936299999999997</v>
      </c>
      <c r="S10" s="3"/>
    </row>
    <row r="11" spans="1:19" x14ac:dyDescent="0.25">
      <c r="A11" t="s">
        <v>22</v>
      </c>
      <c r="B11">
        <v>2030</v>
      </c>
      <c r="C11" s="3">
        <v>0.41395399999999999</v>
      </c>
      <c r="D11" s="3">
        <v>-0.19737099999999999</v>
      </c>
      <c r="E11">
        <v>0</v>
      </c>
      <c r="F11" s="3">
        <f t="shared" si="0"/>
        <v>0.216583</v>
      </c>
      <c r="G11" s="3">
        <v>-0.37077900000000003</v>
      </c>
      <c r="H11" s="3">
        <v>-0.47411700000000001</v>
      </c>
      <c r="I11" s="3">
        <v>0.39210400000000001</v>
      </c>
      <c r="J11" s="3">
        <f t="shared" si="1"/>
        <v>-0.45279200000000008</v>
      </c>
      <c r="K11" s="3">
        <v>4.9381599999999998E-2</v>
      </c>
      <c r="L11" s="3">
        <v>-0.288524</v>
      </c>
      <c r="M11" s="3">
        <v>-0.155748</v>
      </c>
      <c r="N11" s="3">
        <f t="shared" si="2"/>
        <v>-0.39489039999999997</v>
      </c>
      <c r="O11" s="3">
        <v>4.9381599999999998E-2</v>
      </c>
      <c r="P11" s="3">
        <v>-0.288524</v>
      </c>
      <c r="Q11" s="3">
        <v>-0.15575900000000001</v>
      </c>
      <c r="R11" s="3">
        <f t="shared" si="3"/>
        <v>-0.39490140000000001</v>
      </c>
      <c r="S11" s="3"/>
    </row>
    <row r="12" spans="1:19" x14ac:dyDescent="0.25">
      <c r="A12" t="s">
        <v>24</v>
      </c>
      <c r="B12">
        <v>2030</v>
      </c>
      <c r="C12" s="3">
        <v>-0.279001</v>
      </c>
      <c r="D12" s="3">
        <v>0.45270500000000002</v>
      </c>
      <c r="E12">
        <v>0</v>
      </c>
      <c r="F12" s="3">
        <f t="shared" si="0"/>
        <v>0.17370400000000003</v>
      </c>
      <c r="G12" s="3">
        <v>-0.61990400000000001</v>
      </c>
      <c r="H12" s="3">
        <v>-0.38473200000000002</v>
      </c>
      <c r="I12" s="3">
        <v>0.38349</v>
      </c>
      <c r="J12" s="3">
        <f t="shared" si="1"/>
        <v>-0.62114600000000009</v>
      </c>
      <c r="K12" s="3">
        <v>-0.40672000000000003</v>
      </c>
      <c r="L12" s="3">
        <v>-0.32805699999999999</v>
      </c>
      <c r="M12" s="3">
        <v>8.7291199999999999E-2</v>
      </c>
      <c r="N12" s="3">
        <f t="shared" si="2"/>
        <v>-0.6474858</v>
      </c>
      <c r="O12" s="3">
        <v>-0.51706700000000005</v>
      </c>
      <c r="P12" s="3">
        <v>-0.32805699999999999</v>
      </c>
      <c r="Q12" s="3">
        <v>0.252382</v>
      </c>
      <c r="R12" s="3">
        <f t="shared" si="3"/>
        <v>-0.59274199999999999</v>
      </c>
      <c r="S12" s="3"/>
    </row>
    <row r="13" spans="1:19" x14ac:dyDescent="0.25">
      <c r="A13" t="s">
        <v>26</v>
      </c>
      <c r="B13">
        <v>2030</v>
      </c>
      <c r="C13" s="3">
        <v>-0.41211599999999998</v>
      </c>
      <c r="D13" s="3">
        <v>-0.31635999999999997</v>
      </c>
      <c r="E13">
        <v>0</v>
      </c>
      <c r="F13" s="3">
        <f t="shared" si="0"/>
        <v>-0.7284759999999999</v>
      </c>
      <c r="G13" s="3">
        <v>-0.55217099999999997</v>
      </c>
      <c r="H13" s="3">
        <v>-0.511687</v>
      </c>
      <c r="I13" s="3">
        <v>0.46700799999999998</v>
      </c>
      <c r="J13" s="3">
        <f t="shared" si="1"/>
        <v>-0.59684999999999999</v>
      </c>
      <c r="K13" s="3">
        <v>-0.309896</v>
      </c>
      <c r="L13" s="3">
        <v>-0.480707</v>
      </c>
      <c r="M13" s="3">
        <v>0.14812400000000001</v>
      </c>
      <c r="N13" s="3">
        <f t="shared" si="2"/>
        <v>-0.64247899999999991</v>
      </c>
      <c r="O13" s="3">
        <v>-0.46068100000000001</v>
      </c>
      <c r="P13" s="3">
        <v>-0.480707</v>
      </c>
      <c r="Q13" s="3">
        <v>0.29654399999999997</v>
      </c>
      <c r="R13" s="3">
        <f t="shared" si="3"/>
        <v>-0.64484399999999997</v>
      </c>
      <c r="S13" s="3"/>
    </row>
    <row r="14" spans="1:19" x14ac:dyDescent="0.25">
      <c r="A14" t="s">
        <v>28</v>
      </c>
      <c r="B14">
        <v>2030</v>
      </c>
      <c r="C14" s="3">
        <v>-9.9364099999999997E-3</v>
      </c>
      <c r="D14" s="3">
        <v>-0.133663</v>
      </c>
      <c r="E14">
        <v>0</v>
      </c>
      <c r="F14" s="3">
        <f t="shared" si="0"/>
        <v>-0.14359941000000001</v>
      </c>
      <c r="G14" s="3">
        <v>-5.8540200000000001E-2</v>
      </c>
      <c r="H14" s="3">
        <v>-9.3768099999999993E-2</v>
      </c>
      <c r="I14" s="3">
        <v>0.12296899999999999</v>
      </c>
      <c r="J14" s="3">
        <f t="shared" si="1"/>
        <v>-2.9339300000000013E-2</v>
      </c>
      <c r="K14" s="3">
        <v>-3.2152399999999998E-2</v>
      </c>
      <c r="L14" s="3">
        <v>-0.108407</v>
      </c>
      <c r="M14" s="3">
        <v>0.118544</v>
      </c>
      <c r="N14" s="3">
        <f t="shared" si="2"/>
        <v>-2.2015400000000004E-2</v>
      </c>
      <c r="O14" s="3">
        <v>-3.6121E-2</v>
      </c>
      <c r="P14" s="3">
        <v>-0.108407</v>
      </c>
      <c r="Q14" s="3">
        <v>0.12246700000000001</v>
      </c>
      <c r="R14" s="3">
        <f t="shared" si="3"/>
        <v>-2.2060999999999983E-2</v>
      </c>
      <c r="S14" s="3"/>
    </row>
    <row r="15" spans="1:19" x14ac:dyDescent="0.25">
      <c r="A15" t="s">
        <v>30</v>
      </c>
      <c r="B15">
        <v>2030</v>
      </c>
      <c r="C15" s="3">
        <v>-0.34686600000000001</v>
      </c>
      <c r="D15" s="3">
        <v>0.41667999999999999</v>
      </c>
      <c r="E15">
        <v>0</v>
      </c>
      <c r="F15" s="3">
        <f t="shared" si="0"/>
        <v>6.9813999999999987E-2</v>
      </c>
      <c r="G15" s="3">
        <v>-0.86843400000000004</v>
      </c>
      <c r="H15" s="3">
        <v>-0.53539899999999996</v>
      </c>
      <c r="I15" s="3">
        <v>0.68515999999999999</v>
      </c>
      <c r="J15" s="3">
        <f t="shared" si="1"/>
        <v>-0.71867300000000012</v>
      </c>
      <c r="K15" s="3">
        <v>-0.43179299999999998</v>
      </c>
      <c r="L15" s="3">
        <v>0.30718000000000001</v>
      </c>
      <c r="M15" s="3">
        <v>0.112192</v>
      </c>
      <c r="N15" s="3">
        <f t="shared" si="2"/>
        <v>-1.2420999999999974E-2</v>
      </c>
      <c r="O15" s="3">
        <v>-0.59949399999999997</v>
      </c>
      <c r="P15" s="3">
        <v>0.30718000000000001</v>
      </c>
      <c r="Q15" s="3">
        <v>0.34255099999999999</v>
      </c>
      <c r="R15" s="3">
        <f t="shared" si="3"/>
        <v>5.0237000000000032E-2</v>
      </c>
      <c r="S15" s="3"/>
    </row>
    <row r="16" spans="1:19" x14ac:dyDescent="0.25">
      <c r="A16" t="s">
        <v>32</v>
      </c>
      <c r="B16">
        <v>2030</v>
      </c>
      <c r="C16" s="3">
        <v>-1.1179699999999999</v>
      </c>
      <c r="D16" s="3">
        <v>0.30227999999999999</v>
      </c>
      <c r="E16">
        <v>0</v>
      </c>
      <c r="F16" s="3">
        <f t="shared" si="0"/>
        <v>-0.81568999999999992</v>
      </c>
      <c r="G16" s="3">
        <v>-1.77179</v>
      </c>
      <c r="H16" s="3">
        <v>-0.23957100000000001</v>
      </c>
      <c r="I16" s="3">
        <v>1.0004</v>
      </c>
      <c r="J16" s="3">
        <f t="shared" si="1"/>
        <v>-1.010961</v>
      </c>
      <c r="K16" s="3">
        <v>-0.89264200000000005</v>
      </c>
      <c r="L16" s="3">
        <v>-9.5075900000000005E-2</v>
      </c>
      <c r="M16" s="3">
        <v>0.186086</v>
      </c>
      <c r="N16" s="3">
        <f t="shared" si="2"/>
        <v>-0.80163190000000006</v>
      </c>
      <c r="O16" s="3">
        <v>-1.2233099999999999</v>
      </c>
      <c r="P16" s="3">
        <v>-9.5075900000000005E-2</v>
      </c>
      <c r="Q16" s="3">
        <v>0.66794699999999996</v>
      </c>
      <c r="R16" s="3">
        <f t="shared" si="3"/>
        <v>-0.65043890000000004</v>
      </c>
      <c r="S16" s="3"/>
    </row>
    <row r="17" spans="1:19" x14ac:dyDescent="0.25">
      <c r="A17" t="s">
        <v>34</v>
      </c>
      <c r="B17">
        <v>2030</v>
      </c>
      <c r="C17" s="3">
        <v>-0.12632399999999999</v>
      </c>
      <c r="D17" s="3">
        <v>0.225471</v>
      </c>
      <c r="E17">
        <v>0</v>
      </c>
      <c r="F17" s="3">
        <f t="shared" si="0"/>
        <v>9.9147000000000013E-2</v>
      </c>
      <c r="G17" s="3">
        <v>-0.41339199999999998</v>
      </c>
      <c r="H17" s="3">
        <v>0.139879</v>
      </c>
      <c r="I17" s="3">
        <v>0.41995300000000002</v>
      </c>
      <c r="J17" s="3">
        <f t="shared" si="1"/>
        <v>0.14644000000000001</v>
      </c>
      <c r="K17" s="3">
        <v>-0.138931</v>
      </c>
      <c r="L17" s="3">
        <v>0.16394300000000001</v>
      </c>
      <c r="M17" s="3">
        <v>9.6532300000000001E-2</v>
      </c>
      <c r="N17" s="3">
        <f t="shared" si="2"/>
        <v>0.12154430000000001</v>
      </c>
      <c r="O17" s="3">
        <v>-0.27998600000000001</v>
      </c>
      <c r="P17" s="3">
        <v>0.16394300000000001</v>
      </c>
      <c r="Q17" s="3">
        <v>0.284632</v>
      </c>
      <c r="R17" s="3">
        <f t="shared" si="3"/>
        <v>0.16858899999999999</v>
      </c>
      <c r="S17" s="3"/>
    </row>
    <row r="18" spans="1:19" x14ac:dyDescent="0.25">
      <c r="A18" t="s">
        <v>36</v>
      </c>
      <c r="B18">
        <v>2030</v>
      </c>
      <c r="C18" s="3">
        <v>-0.69729099999999999</v>
      </c>
      <c r="D18" s="3">
        <v>0.10530399999999999</v>
      </c>
      <c r="E18">
        <v>0</v>
      </c>
      <c r="F18" s="3">
        <f t="shared" si="0"/>
        <v>-0.59198700000000004</v>
      </c>
      <c r="G18" s="3">
        <v>-0.79584500000000002</v>
      </c>
      <c r="H18" s="3">
        <v>-0.16156499999999999</v>
      </c>
      <c r="I18" s="3">
        <v>0.59298700000000004</v>
      </c>
      <c r="J18" s="3">
        <f t="shared" si="1"/>
        <v>-0.36442299999999994</v>
      </c>
      <c r="K18" s="3">
        <v>-0.60430600000000001</v>
      </c>
      <c r="L18" s="3">
        <v>-7.9303399999999996E-2</v>
      </c>
      <c r="M18" s="3">
        <v>0.155524</v>
      </c>
      <c r="N18" s="3">
        <f t="shared" si="2"/>
        <v>-0.52808540000000004</v>
      </c>
      <c r="O18" s="3">
        <v>-0.804983</v>
      </c>
      <c r="P18" s="3">
        <v>-7.9303399999999996E-2</v>
      </c>
      <c r="Q18" s="3">
        <v>0.39884399999999998</v>
      </c>
      <c r="R18" s="3">
        <f t="shared" si="3"/>
        <v>-0.48544240000000005</v>
      </c>
      <c r="S18" s="3"/>
    </row>
    <row r="19" spans="1:19" x14ac:dyDescent="0.25">
      <c r="A19" t="s">
        <v>38</v>
      </c>
      <c r="B19">
        <v>2030</v>
      </c>
      <c r="C19" s="3">
        <v>-0.344281</v>
      </c>
      <c r="D19" s="3">
        <v>4.9830300000000001E-2</v>
      </c>
      <c r="E19">
        <v>0</v>
      </c>
      <c r="F19" s="3">
        <f t="shared" si="0"/>
        <v>-0.29445070000000001</v>
      </c>
      <c r="G19" s="3">
        <v>-0.74609499999999995</v>
      </c>
      <c r="H19" s="3">
        <v>-0.28179900000000002</v>
      </c>
      <c r="I19" s="3">
        <v>0.91768099999999997</v>
      </c>
      <c r="J19" s="3">
        <f t="shared" si="1"/>
        <v>-0.11021299999999989</v>
      </c>
      <c r="K19" s="3">
        <v>-0.35207899999999998</v>
      </c>
      <c r="L19" s="3">
        <v>-0.29668600000000001</v>
      </c>
      <c r="M19" s="3">
        <v>0.300429</v>
      </c>
      <c r="N19" s="3">
        <f t="shared" si="2"/>
        <v>-0.34833600000000003</v>
      </c>
      <c r="O19" s="3">
        <v>-0.66263899999999998</v>
      </c>
      <c r="P19" s="3">
        <v>-0.29668600000000001</v>
      </c>
      <c r="Q19" s="3">
        <v>0.60570100000000004</v>
      </c>
      <c r="R19" s="3">
        <f t="shared" si="3"/>
        <v>-0.35362399999999994</v>
      </c>
      <c r="S19" s="3"/>
    </row>
    <row r="20" spans="1:19" x14ac:dyDescent="0.25">
      <c r="A20" t="s">
        <v>40</v>
      </c>
      <c r="B20">
        <v>2030</v>
      </c>
      <c r="C20" s="3">
        <v>-0.199382</v>
      </c>
      <c r="D20" s="3">
        <v>-1.7944399999999999E-2</v>
      </c>
      <c r="E20">
        <v>0</v>
      </c>
      <c r="F20" s="3">
        <f t="shared" si="0"/>
        <v>-0.2173264</v>
      </c>
      <c r="G20" s="3">
        <v>-0.75467099999999998</v>
      </c>
      <c r="H20" s="3">
        <v>-0.18664500000000001</v>
      </c>
      <c r="I20" s="3">
        <v>0.69297500000000001</v>
      </c>
      <c r="J20" s="3">
        <f t="shared" si="1"/>
        <v>-0.24834100000000003</v>
      </c>
      <c r="K20" s="3">
        <v>-0.15454100000000001</v>
      </c>
      <c r="L20" s="3">
        <v>-8.3886600000000006E-2</v>
      </c>
      <c r="M20" s="3">
        <v>0.13899</v>
      </c>
      <c r="N20" s="3">
        <f t="shared" si="2"/>
        <v>-9.9437600000000015E-2</v>
      </c>
      <c r="O20" s="3">
        <v>-0.39202799999999999</v>
      </c>
      <c r="P20" s="3">
        <v>-8.3886600000000006E-2</v>
      </c>
      <c r="Q20" s="3">
        <v>0.49158299999999999</v>
      </c>
      <c r="R20" s="3">
        <f t="shared" si="3"/>
        <v>1.5668400000000027E-2</v>
      </c>
      <c r="S20" s="3"/>
    </row>
    <row r="21" spans="1:19" x14ac:dyDescent="0.25">
      <c r="A21" t="s">
        <v>42</v>
      </c>
      <c r="B21">
        <v>2030</v>
      </c>
      <c r="C21" s="3">
        <v>-3.8059900000000001E-2</v>
      </c>
      <c r="D21" s="3">
        <v>0.26893</v>
      </c>
      <c r="E21">
        <v>0</v>
      </c>
      <c r="F21" s="3">
        <f t="shared" si="0"/>
        <v>0.23087009999999999</v>
      </c>
      <c r="G21" s="3">
        <v>-0.82383399999999996</v>
      </c>
      <c r="H21" s="3">
        <v>-0.54283400000000004</v>
      </c>
      <c r="I21" s="3">
        <v>0.93079599999999996</v>
      </c>
      <c r="J21" s="3">
        <f t="shared" si="1"/>
        <v>-0.43587200000000004</v>
      </c>
      <c r="K21" s="3">
        <v>-0.33807100000000001</v>
      </c>
      <c r="L21" s="3">
        <v>0.23225000000000001</v>
      </c>
      <c r="M21" s="3">
        <v>0.39955099999999999</v>
      </c>
      <c r="N21" s="3">
        <f t="shared" si="2"/>
        <v>0.29372999999999999</v>
      </c>
      <c r="O21" s="3">
        <v>-0.39984599999999998</v>
      </c>
      <c r="P21" s="3">
        <v>0.23225000000000001</v>
      </c>
      <c r="Q21" s="3">
        <v>0.48061399999999999</v>
      </c>
      <c r="R21" s="3">
        <f t="shared" si="3"/>
        <v>0.31301800000000002</v>
      </c>
      <c r="S21" s="3"/>
    </row>
    <row r="22" spans="1:19" x14ac:dyDescent="0.25">
      <c r="A22" t="s">
        <v>44</v>
      </c>
      <c r="B22">
        <v>2030</v>
      </c>
      <c r="C22" s="3">
        <v>-0.374637</v>
      </c>
      <c r="D22" s="3">
        <v>-4.4135499999999996E-3</v>
      </c>
      <c r="E22">
        <v>0</v>
      </c>
      <c r="F22" s="3">
        <f t="shared" si="0"/>
        <v>-0.37905054999999999</v>
      </c>
      <c r="G22" s="3">
        <v>-0.31850400000000001</v>
      </c>
      <c r="H22" s="3">
        <v>-0.16852200000000001</v>
      </c>
      <c r="I22" s="3">
        <v>0.38061699999999998</v>
      </c>
      <c r="J22" s="3">
        <f t="shared" si="1"/>
        <v>-0.10640900000000003</v>
      </c>
      <c r="K22" s="3">
        <v>-0.22856499999999999</v>
      </c>
      <c r="L22" s="3">
        <v>-0.14701900000000001</v>
      </c>
      <c r="M22" s="3">
        <v>0.11255800000000001</v>
      </c>
      <c r="N22" s="3">
        <f t="shared" si="2"/>
        <v>-0.26302600000000004</v>
      </c>
      <c r="O22" s="3">
        <v>-0.34401500000000002</v>
      </c>
      <c r="P22" s="3">
        <v>-0.14701900000000001</v>
      </c>
      <c r="Q22" s="3">
        <v>0.22848099999999999</v>
      </c>
      <c r="R22" s="3">
        <f t="shared" si="3"/>
        <v>-0.26255300000000004</v>
      </c>
      <c r="S22" s="3"/>
    </row>
    <row r="23" spans="1:19" x14ac:dyDescent="0.25">
      <c r="A23" t="s">
        <v>46</v>
      </c>
      <c r="B23">
        <v>2030</v>
      </c>
      <c r="C23" s="3">
        <v>-0.45380999999999999</v>
      </c>
      <c r="D23" s="3">
        <v>0.44062299999999999</v>
      </c>
      <c r="E23">
        <v>0</v>
      </c>
      <c r="F23" s="3">
        <f t="shared" si="0"/>
        <v>-1.3187000000000004E-2</v>
      </c>
      <c r="G23" s="3">
        <v>-0.76177799999999996</v>
      </c>
      <c r="H23" s="3">
        <v>0.15385099999999999</v>
      </c>
      <c r="I23" s="3">
        <v>0.47334999999999999</v>
      </c>
      <c r="J23" s="3">
        <f t="shared" si="1"/>
        <v>-0.134577</v>
      </c>
      <c r="K23" s="3">
        <v>-0.48301100000000002</v>
      </c>
      <c r="L23" s="3">
        <v>0.25120399999999998</v>
      </c>
      <c r="M23" s="3">
        <v>0.10381700000000001</v>
      </c>
      <c r="N23" s="3">
        <f t="shared" si="2"/>
        <v>-0.12799000000000005</v>
      </c>
      <c r="O23" s="3">
        <v>-0.628104</v>
      </c>
      <c r="P23" s="3">
        <v>0.25120399999999998</v>
      </c>
      <c r="Q23" s="3">
        <v>0.289491</v>
      </c>
      <c r="R23" s="3">
        <f t="shared" si="3"/>
        <v>-8.7409000000000014E-2</v>
      </c>
      <c r="S23" s="3"/>
    </row>
    <row r="24" spans="1:19" x14ac:dyDescent="0.25">
      <c r="A24" t="s">
        <v>48</v>
      </c>
      <c r="B24">
        <v>2030</v>
      </c>
      <c r="C24" s="3">
        <v>-0.91733100000000001</v>
      </c>
      <c r="D24" s="3">
        <v>0.29842299999999999</v>
      </c>
      <c r="E24">
        <v>0</v>
      </c>
      <c r="F24" s="3">
        <f t="shared" si="0"/>
        <v>-0.61890800000000001</v>
      </c>
      <c r="G24" s="3">
        <v>-0.64039800000000002</v>
      </c>
      <c r="H24" s="3">
        <v>-0.64949000000000001</v>
      </c>
      <c r="I24" s="3">
        <v>0.80943500000000002</v>
      </c>
      <c r="J24" s="3">
        <f t="shared" si="1"/>
        <v>-0.48045299999999991</v>
      </c>
      <c r="K24" s="3">
        <v>-0.73298200000000002</v>
      </c>
      <c r="L24" s="3">
        <v>-0.16451199999999999</v>
      </c>
      <c r="M24" s="3">
        <v>0.11817999999999999</v>
      </c>
      <c r="N24" s="3">
        <f t="shared" si="2"/>
        <v>-0.77931400000000006</v>
      </c>
      <c r="O24" s="3">
        <v>-0.92378099999999996</v>
      </c>
      <c r="P24" s="3">
        <v>-0.16451199999999999</v>
      </c>
      <c r="Q24" s="3">
        <v>0.39489999999999997</v>
      </c>
      <c r="R24" s="3">
        <f t="shared" si="3"/>
        <v>-0.69339299999999993</v>
      </c>
      <c r="S24" s="3"/>
    </row>
    <row r="25" spans="1:19" x14ac:dyDescent="0.25">
      <c r="A25" t="s">
        <v>50</v>
      </c>
      <c r="B25">
        <v>2030</v>
      </c>
      <c r="C25" s="3">
        <v>-0.38228200000000001</v>
      </c>
      <c r="D25" s="3">
        <v>1.04023E-2</v>
      </c>
      <c r="E25">
        <v>0</v>
      </c>
      <c r="F25" s="3">
        <f t="shared" si="0"/>
        <v>-0.37187970000000004</v>
      </c>
      <c r="G25" s="3">
        <v>-0.37677100000000002</v>
      </c>
      <c r="H25" s="3">
        <v>-0.18185000000000001</v>
      </c>
      <c r="I25" s="3">
        <v>0.52230399999999999</v>
      </c>
      <c r="J25" s="3">
        <f t="shared" si="1"/>
        <v>-3.6317000000000044E-2</v>
      </c>
      <c r="K25" s="3">
        <v>-0.19226699999999999</v>
      </c>
      <c r="L25" s="3">
        <v>-0.15490000000000001</v>
      </c>
      <c r="M25" s="3">
        <v>0.16972699999999999</v>
      </c>
      <c r="N25" s="3">
        <f t="shared" si="2"/>
        <v>-0.17744000000000001</v>
      </c>
      <c r="O25" s="3">
        <v>-0.377382</v>
      </c>
      <c r="P25" s="3">
        <v>-0.15490000000000001</v>
      </c>
      <c r="Q25" s="3">
        <v>0.36584299999999997</v>
      </c>
      <c r="R25" s="3">
        <f t="shared" si="3"/>
        <v>-0.16643900000000006</v>
      </c>
      <c r="S25" s="3"/>
    </row>
    <row r="26" spans="1:19" x14ac:dyDescent="0.25">
      <c r="A26" t="s">
        <v>52</v>
      </c>
      <c r="B26">
        <v>2030</v>
      </c>
      <c r="C26" s="3">
        <v>-0.61292599999999997</v>
      </c>
      <c r="D26" s="3">
        <v>0.44863500000000001</v>
      </c>
      <c r="E26">
        <v>0</v>
      </c>
      <c r="F26" s="3">
        <f t="shared" si="0"/>
        <v>-0.16429099999999996</v>
      </c>
      <c r="G26" s="3">
        <v>-0.66322499999999995</v>
      </c>
      <c r="H26" s="3">
        <v>-0.42614800000000003</v>
      </c>
      <c r="I26" s="3">
        <v>0.72591399999999995</v>
      </c>
      <c r="J26" s="3">
        <f t="shared" si="1"/>
        <v>-0.36345899999999998</v>
      </c>
      <c r="K26" s="3">
        <v>-0.41254099999999999</v>
      </c>
      <c r="L26" s="3">
        <v>3.72409E-2</v>
      </c>
      <c r="M26" s="3">
        <v>0.116796</v>
      </c>
      <c r="N26" s="3">
        <f t="shared" si="2"/>
        <v>-0.25850409999999996</v>
      </c>
      <c r="O26" s="3">
        <v>-0.613487</v>
      </c>
      <c r="P26" s="3">
        <v>3.72409E-2</v>
      </c>
      <c r="Q26" s="3">
        <v>0.41120400000000001</v>
      </c>
      <c r="R26" s="3">
        <f t="shared" si="3"/>
        <v>-0.16504209999999997</v>
      </c>
      <c r="S26" s="3"/>
    </row>
    <row r="27" spans="1:19" x14ac:dyDescent="0.25">
      <c r="A27" t="s">
        <v>54</v>
      </c>
      <c r="B27">
        <v>2030</v>
      </c>
      <c r="C27" s="3">
        <v>-0.116184</v>
      </c>
      <c r="D27" s="3">
        <v>0.16475600000000001</v>
      </c>
      <c r="E27">
        <v>0</v>
      </c>
      <c r="F27" s="3">
        <f t="shared" si="0"/>
        <v>4.8572000000000018E-2</v>
      </c>
      <c r="G27" s="3">
        <v>-0.74498600000000004</v>
      </c>
      <c r="H27" s="3">
        <v>0.34429300000000002</v>
      </c>
      <c r="I27" s="3">
        <v>0.51491200000000004</v>
      </c>
      <c r="J27" s="3">
        <f t="shared" si="1"/>
        <v>0.11421900000000001</v>
      </c>
      <c r="K27" s="3">
        <v>-0.367788</v>
      </c>
      <c r="L27" s="3">
        <v>-0.192278</v>
      </c>
      <c r="M27" s="3">
        <v>0.137569</v>
      </c>
      <c r="N27" s="3">
        <f t="shared" si="2"/>
        <v>-0.42249699999999996</v>
      </c>
      <c r="O27" s="3">
        <v>-0.49348399999999998</v>
      </c>
      <c r="P27" s="3">
        <v>-0.192278</v>
      </c>
      <c r="Q27" s="3">
        <v>0.31736900000000001</v>
      </c>
      <c r="R27" s="3">
        <f t="shared" si="3"/>
        <v>-0.36839299999999997</v>
      </c>
      <c r="S27" s="3"/>
    </row>
    <row r="28" spans="1:19" x14ac:dyDescent="0.25">
      <c r="A28" t="s">
        <v>56</v>
      </c>
      <c r="B28">
        <v>2030</v>
      </c>
      <c r="C28" s="3">
        <v>-0.54512700000000003</v>
      </c>
      <c r="D28" s="3">
        <v>-0.23183100000000001</v>
      </c>
      <c r="E28">
        <v>0</v>
      </c>
      <c r="F28" s="3">
        <f t="shared" si="0"/>
        <v>-0.77695800000000004</v>
      </c>
      <c r="G28" s="3">
        <v>-0.40715600000000002</v>
      </c>
      <c r="H28" s="3">
        <v>-0.336619</v>
      </c>
      <c r="I28" s="3">
        <v>0.204569</v>
      </c>
      <c r="J28" s="3">
        <f t="shared" si="1"/>
        <v>-0.53920600000000007</v>
      </c>
      <c r="K28" s="3">
        <v>-0.36709199999999997</v>
      </c>
      <c r="L28" s="3">
        <v>-0.339167</v>
      </c>
      <c r="M28" s="3">
        <v>6.7815399999999998E-2</v>
      </c>
      <c r="N28" s="3">
        <f t="shared" si="2"/>
        <v>-0.6384436</v>
      </c>
      <c r="O28" s="3">
        <v>-0.43971900000000003</v>
      </c>
      <c r="P28" s="3">
        <v>-0.339167</v>
      </c>
      <c r="Q28" s="3">
        <v>0.142293</v>
      </c>
      <c r="R28" s="3">
        <f t="shared" si="3"/>
        <v>-0.63659299999999996</v>
      </c>
      <c r="S28" s="3"/>
    </row>
    <row r="29" spans="1:19" x14ac:dyDescent="0.25">
      <c r="A29" t="s">
        <v>58</v>
      </c>
      <c r="B29">
        <v>2030</v>
      </c>
      <c r="C29" s="3">
        <v>-0.115035</v>
      </c>
      <c r="D29" s="3">
        <v>0.40954099999999999</v>
      </c>
      <c r="E29">
        <v>0</v>
      </c>
      <c r="F29" s="3">
        <f t="shared" si="0"/>
        <v>0.29450599999999999</v>
      </c>
      <c r="G29" s="3">
        <v>-0.83342400000000005</v>
      </c>
      <c r="H29" s="3">
        <v>0.224991</v>
      </c>
      <c r="I29" s="3">
        <v>0.52969699999999997</v>
      </c>
      <c r="J29" s="3">
        <f t="shared" si="1"/>
        <v>-7.8736000000000028E-2</v>
      </c>
      <c r="K29" s="3">
        <v>-0.38880500000000001</v>
      </c>
      <c r="L29" s="3">
        <v>0.30015399999999998</v>
      </c>
      <c r="M29" s="3">
        <v>0.12614700000000001</v>
      </c>
      <c r="N29" s="3">
        <f t="shared" si="2"/>
        <v>3.7495999999999974E-2</v>
      </c>
      <c r="O29" s="3">
        <v>-0.54342900000000005</v>
      </c>
      <c r="P29" s="3">
        <v>0.30015399999999998</v>
      </c>
      <c r="Q29" s="3">
        <v>0.309166</v>
      </c>
      <c r="R29" s="3">
        <f t="shared" si="3"/>
        <v>6.5890999999999922E-2</v>
      </c>
      <c r="S29" s="3"/>
    </row>
    <row r="30" spans="1:19" x14ac:dyDescent="0.25">
      <c r="A30" t="s">
        <v>60</v>
      </c>
      <c r="B30">
        <v>2030</v>
      </c>
      <c r="C30" s="3">
        <v>-0.474105</v>
      </c>
      <c r="D30" s="3">
        <v>0.24029600000000001</v>
      </c>
      <c r="E30">
        <v>0</v>
      </c>
      <c r="F30" s="3">
        <f t="shared" si="0"/>
        <v>-0.23380899999999999</v>
      </c>
      <c r="G30" s="3">
        <v>-1.17611</v>
      </c>
      <c r="H30" s="3">
        <v>-0.243973</v>
      </c>
      <c r="I30" s="3">
        <v>0.97203200000000001</v>
      </c>
      <c r="J30" s="3">
        <f t="shared" si="1"/>
        <v>-0.44805099999999998</v>
      </c>
      <c r="K30" s="3">
        <v>-0.65579900000000002</v>
      </c>
      <c r="L30" s="3">
        <v>-7.2625800000000004E-2</v>
      </c>
      <c r="M30" s="3">
        <v>0.25020599999999998</v>
      </c>
      <c r="N30" s="3">
        <f t="shared" si="2"/>
        <v>-0.4782188</v>
      </c>
      <c r="O30" s="3">
        <v>-0.95672199999999996</v>
      </c>
      <c r="P30" s="3">
        <v>-7.2625800000000004E-2</v>
      </c>
      <c r="Q30" s="3">
        <v>0.64886500000000003</v>
      </c>
      <c r="R30" s="3">
        <f t="shared" si="3"/>
        <v>-0.38048280000000001</v>
      </c>
      <c r="S30" s="3"/>
    </row>
    <row r="31" spans="1:19" x14ac:dyDescent="0.25">
      <c r="A31" t="s">
        <v>79</v>
      </c>
      <c r="B31">
        <v>2030</v>
      </c>
      <c r="C31" s="3">
        <v>-0.44869399999999998</v>
      </c>
      <c r="D31" s="3">
        <v>6.77006E-2</v>
      </c>
      <c r="E31">
        <v>0</v>
      </c>
      <c r="F31" s="3">
        <f t="shared" si="0"/>
        <v>-0.38099339999999998</v>
      </c>
      <c r="G31" s="3">
        <v>-0.69076000000000004</v>
      </c>
      <c r="H31" s="3">
        <v>-0.28299099999999999</v>
      </c>
      <c r="I31" s="3">
        <v>0.531057</v>
      </c>
      <c r="J31" s="3">
        <f t="shared" si="1"/>
        <v>-0.44269400000000003</v>
      </c>
      <c r="K31" s="3">
        <v>-0.43449500000000002</v>
      </c>
      <c r="L31" s="3">
        <v>-0.156191</v>
      </c>
      <c r="M31" s="3">
        <v>0.13545199999999999</v>
      </c>
      <c r="N31" s="3">
        <f t="shared" si="2"/>
        <v>-0.45523400000000003</v>
      </c>
      <c r="O31" s="3">
        <v>-0.58943299999999998</v>
      </c>
      <c r="P31" s="3">
        <v>-0.156191</v>
      </c>
      <c r="Q31" s="3">
        <v>0.32138899999999998</v>
      </c>
      <c r="R31" s="3">
        <f t="shared" si="3"/>
        <v>-0.42423499999999997</v>
      </c>
      <c r="S31" s="3"/>
    </row>
    <row r="32" spans="1:19" x14ac:dyDescent="0.25">
      <c r="A32" t="s">
        <v>80</v>
      </c>
      <c r="B32">
        <v>2030</v>
      </c>
      <c r="C32" s="3">
        <v>-0.45230199999999998</v>
      </c>
      <c r="D32" s="3">
        <v>8.0961699999999998E-2</v>
      </c>
      <c r="E32">
        <v>0</v>
      </c>
      <c r="F32" s="3">
        <f t="shared" si="0"/>
        <v>-0.37134029999999996</v>
      </c>
      <c r="G32" s="3">
        <v>-0.70120199999999999</v>
      </c>
      <c r="H32" s="3">
        <v>-0.27246500000000001</v>
      </c>
      <c r="I32" s="3">
        <v>0.54217400000000004</v>
      </c>
      <c r="J32" s="3">
        <f t="shared" si="1"/>
        <v>-0.43149300000000002</v>
      </c>
      <c r="K32" s="3">
        <v>-0.44118200000000002</v>
      </c>
      <c r="L32" s="3">
        <v>-0.14743700000000001</v>
      </c>
      <c r="M32" s="3">
        <v>0.13755800000000001</v>
      </c>
      <c r="N32" s="3">
        <f t="shared" si="2"/>
        <v>-0.45106099999999999</v>
      </c>
      <c r="O32" s="3">
        <v>-0.59901000000000004</v>
      </c>
      <c r="P32" s="3">
        <v>-0.14743700000000001</v>
      </c>
      <c r="Q32" s="3">
        <v>0.32813999999999999</v>
      </c>
      <c r="R32" s="3">
        <f t="shared" si="3"/>
        <v>-0.4183070000000001</v>
      </c>
      <c r="S32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9E1E9-AE32-42FB-B628-4BF182334F2A}">
  <dimension ref="A1:J30"/>
  <sheetViews>
    <sheetView workbookViewId="0"/>
  </sheetViews>
  <sheetFormatPr defaultRowHeight="15" x14ac:dyDescent="0.25"/>
  <sheetData>
    <row r="1" spans="1:10" x14ac:dyDescent="0.25">
      <c r="C1" t="s">
        <v>1</v>
      </c>
      <c r="D1" t="s">
        <v>1</v>
      </c>
      <c r="E1" t="s">
        <v>2</v>
      </c>
      <c r="F1" t="s">
        <v>2</v>
      </c>
      <c r="G1" t="s">
        <v>3</v>
      </c>
      <c r="H1" t="s">
        <v>3</v>
      </c>
      <c r="I1" t="s">
        <v>4</v>
      </c>
      <c r="J1" t="s">
        <v>4</v>
      </c>
    </row>
    <row r="2" spans="1:10" x14ac:dyDescent="0.25">
      <c r="C2" t="s">
        <v>92</v>
      </c>
      <c r="D2" t="s">
        <v>86</v>
      </c>
      <c r="E2" t="s">
        <v>92</v>
      </c>
      <c r="F2" t="s">
        <v>86</v>
      </c>
      <c r="G2" t="s">
        <v>92</v>
      </c>
      <c r="H2" t="s">
        <v>86</v>
      </c>
      <c r="I2" t="s">
        <v>92</v>
      </c>
      <c r="J2" t="s">
        <v>86</v>
      </c>
    </row>
    <row r="3" spans="1:10" x14ac:dyDescent="0.25">
      <c r="A3">
        <v>2030</v>
      </c>
      <c r="B3" t="s">
        <v>6</v>
      </c>
      <c r="C3" s="3">
        <v>0.14332700000000001</v>
      </c>
      <c r="D3" s="3">
        <v>-0.139956</v>
      </c>
      <c r="E3" s="3">
        <v>-0.18693899999999999</v>
      </c>
      <c r="F3" s="3">
        <v>-0.568573</v>
      </c>
      <c r="G3" s="3">
        <v>4.6909399999999997E-2</v>
      </c>
      <c r="H3" s="3">
        <v>-0.33440999999999999</v>
      </c>
      <c r="I3" s="3">
        <v>4.6909399999999997E-2</v>
      </c>
      <c r="J3" s="3">
        <v>-0.33440999999999999</v>
      </c>
    </row>
    <row r="4" spans="1:10" x14ac:dyDescent="0.25">
      <c r="A4">
        <v>2030</v>
      </c>
      <c r="B4" t="s">
        <v>8</v>
      </c>
      <c r="C4" s="3">
        <v>0.10379099999999999</v>
      </c>
      <c r="D4" s="3">
        <v>-6.6414799999999996E-2</v>
      </c>
      <c r="E4" s="3">
        <v>-8.2222699999999996E-2</v>
      </c>
      <c r="F4" s="3">
        <v>-0.51068100000000005</v>
      </c>
      <c r="G4" s="3">
        <v>-8.7011000000000005E-2</v>
      </c>
      <c r="H4" s="3">
        <v>-0.38686399999999999</v>
      </c>
      <c r="I4" s="3">
        <v>-8.7011000000000005E-2</v>
      </c>
      <c r="J4" s="3">
        <v>-0.38686399999999999</v>
      </c>
    </row>
    <row r="5" spans="1:10" x14ac:dyDescent="0.25">
      <c r="A5">
        <v>2030</v>
      </c>
      <c r="B5" t="s">
        <v>10</v>
      </c>
      <c r="C5" s="3">
        <v>0.90885199999999999</v>
      </c>
      <c r="D5" s="3">
        <v>-0.64210599999999995</v>
      </c>
      <c r="E5" s="3">
        <v>1.3188299999999999</v>
      </c>
      <c r="F5" s="3">
        <v>-0.83426999999999996</v>
      </c>
      <c r="G5" s="3">
        <v>0.35699799999999998</v>
      </c>
      <c r="H5" s="3">
        <v>-1.20858</v>
      </c>
      <c r="I5" s="3">
        <v>0.35699799999999998</v>
      </c>
      <c r="J5" s="3">
        <v>-1.20858</v>
      </c>
    </row>
    <row r="6" spans="1:10" x14ac:dyDescent="0.25">
      <c r="A6">
        <v>2030</v>
      </c>
      <c r="B6" t="s">
        <v>12</v>
      </c>
      <c r="C6" s="3">
        <v>0.25130000000000002</v>
      </c>
      <c r="D6" s="3">
        <v>-7.0164199999999996E-2</v>
      </c>
      <c r="E6" s="3">
        <v>0.65972799999999998</v>
      </c>
      <c r="F6" s="3">
        <v>-0.31516899999999998</v>
      </c>
      <c r="G6" s="3">
        <v>0.42580499999999999</v>
      </c>
      <c r="H6" s="3">
        <v>-0.227821</v>
      </c>
      <c r="I6" s="3">
        <v>0.42580499999999999</v>
      </c>
      <c r="J6" s="3">
        <v>-0.227821</v>
      </c>
    </row>
    <row r="7" spans="1:10" x14ac:dyDescent="0.25">
      <c r="A7">
        <v>2030</v>
      </c>
      <c r="B7" t="s">
        <v>14</v>
      </c>
      <c r="C7" s="3">
        <v>-0.317801</v>
      </c>
      <c r="D7" s="3">
        <v>-0.31743199999999999</v>
      </c>
      <c r="E7" s="3">
        <v>-0.26849200000000001</v>
      </c>
      <c r="F7" s="3">
        <v>-0.65754800000000002</v>
      </c>
      <c r="G7" s="3">
        <v>-0.52440900000000001</v>
      </c>
      <c r="H7" s="3">
        <v>-0.69323599999999996</v>
      </c>
      <c r="I7" s="3">
        <v>-0.52440900000000001</v>
      </c>
      <c r="J7" s="3">
        <v>-0.69323599999999996</v>
      </c>
    </row>
    <row r="8" spans="1:10" x14ac:dyDescent="0.25">
      <c r="A8">
        <v>2030</v>
      </c>
      <c r="B8" t="s">
        <v>16</v>
      </c>
      <c r="C8" s="3">
        <v>0.29585699999999998</v>
      </c>
      <c r="D8" s="3">
        <v>-2.2822599999999998E-2</v>
      </c>
      <c r="E8" s="3">
        <v>0.15012500000000001</v>
      </c>
      <c r="F8" s="3">
        <v>-0.38664399999999999</v>
      </c>
      <c r="G8" s="3">
        <v>0.19078500000000001</v>
      </c>
      <c r="H8" s="3">
        <v>-0.222747</v>
      </c>
      <c r="I8" s="3">
        <v>0.19078500000000001</v>
      </c>
      <c r="J8" s="3">
        <v>-0.222747</v>
      </c>
    </row>
    <row r="9" spans="1:10" x14ac:dyDescent="0.25">
      <c r="A9">
        <v>2030</v>
      </c>
      <c r="B9" t="s">
        <v>18</v>
      </c>
      <c r="C9" s="3">
        <v>5.31265E-2</v>
      </c>
      <c r="D9" s="3">
        <v>6.4710400000000001E-2</v>
      </c>
      <c r="E9" s="3">
        <v>0.10995199999999999</v>
      </c>
      <c r="F9" s="3">
        <v>-0.138934</v>
      </c>
      <c r="G9" s="3">
        <v>2.2832399999999999E-2</v>
      </c>
      <c r="H9" s="3">
        <v>-3.5839099999999999E-2</v>
      </c>
      <c r="I9" s="3">
        <v>2.2832399999999999E-2</v>
      </c>
      <c r="J9" s="3">
        <v>-3.5839099999999999E-2</v>
      </c>
    </row>
    <row r="10" spans="1:10" x14ac:dyDescent="0.25">
      <c r="A10">
        <v>2030</v>
      </c>
      <c r="B10" t="s">
        <v>20</v>
      </c>
      <c r="C10" s="3">
        <v>9.7030400000000003E-2</v>
      </c>
      <c r="D10" s="3">
        <v>-1.7854600000000002E-2</v>
      </c>
      <c r="E10" s="3">
        <v>-7.5479199999999996E-2</v>
      </c>
      <c r="F10" s="3">
        <v>-0.30940600000000001</v>
      </c>
      <c r="G10" s="3">
        <v>4.5585800000000003E-2</v>
      </c>
      <c r="H10" s="3">
        <v>-0.207008</v>
      </c>
      <c r="I10" s="3">
        <v>4.5585800000000003E-2</v>
      </c>
      <c r="J10" s="3">
        <v>-0.207008</v>
      </c>
    </row>
    <row r="11" spans="1:10" x14ac:dyDescent="0.25">
      <c r="A11">
        <v>2030</v>
      </c>
      <c r="B11" t="s">
        <v>22</v>
      </c>
      <c r="C11" s="3">
        <v>7.5968599999999997E-2</v>
      </c>
      <c r="D11" s="3">
        <v>-0.322828</v>
      </c>
      <c r="E11" s="3">
        <v>-6.1372400000000001E-2</v>
      </c>
      <c r="F11" s="3">
        <v>-0.57000300000000004</v>
      </c>
      <c r="G11" s="3">
        <v>0.13197800000000001</v>
      </c>
      <c r="H11" s="3">
        <v>-0.49412</v>
      </c>
      <c r="I11" s="3">
        <v>0.13197800000000001</v>
      </c>
      <c r="J11" s="3">
        <v>-0.49412</v>
      </c>
    </row>
    <row r="12" spans="1:10" x14ac:dyDescent="0.25">
      <c r="A12">
        <v>2030</v>
      </c>
      <c r="B12" t="s">
        <v>24</v>
      </c>
      <c r="C12" s="3">
        <v>0.39311000000000001</v>
      </c>
      <c r="D12" s="3">
        <v>0.24088100000000001</v>
      </c>
      <c r="E12" s="3">
        <v>7.9417600000000005E-2</v>
      </c>
      <c r="F12" s="3">
        <v>-0.52230299999999996</v>
      </c>
      <c r="G12" s="3">
        <v>4.9497800000000002E-2</v>
      </c>
      <c r="H12" s="3">
        <v>-0.42804999999999999</v>
      </c>
      <c r="I12" s="3">
        <v>4.9497800000000002E-2</v>
      </c>
      <c r="J12" s="3">
        <v>-0.42804999999999999</v>
      </c>
    </row>
    <row r="13" spans="1:10" x14ac:dyDescent="0.25">
      <c r="A13">
        <v>2030</v>
      </c>
      <c r="B13" t="s">
        <v>26</v>
      </c>
      <c r="C13" s="3">
        <v>-1.85192E-2</v>
      </c>
      <c r="D13" s="3">
        <v>-0.331451</v>
      </c>
      <c r="E13" s="3">
        <v>-0.16636500000000001</v>
      </c>
      <c r="F13" s="3">
        <v>-0.45604699999999998</v>
      </c>
      <c r="G13" s="3">
        <v>-0.11493399999999999</v>
      </c>
      <c r="H13" s="3">
        <v>-0.45522000000000001</v>
      </c>
      <c r="I13" s="3">
        <v>-0.11493399999999999</v>
      </c>
      <c r="J13" s="3">
        <v>-0.45522000000000001</v>
      </c>
    </row>
    <row r="14" spans="1:10" x14ac:dyDescent="0.25">
      <c r="A14">
        <v>2030</v>
      </c>
      <c r="B14" t="s">
        <v>28</v>
      </c>
      <c r="C14" s="3">
        <v>-0.213196</v>
      </c>
      <c r="D14" s="3">
        <v>-6.6810000000000003E-4</v>
      </c>
      <c r="E14" s="3">
        <v>-0.184696</v>
      </c>
      <c r="F14" s="3">
        <v>3.1693499999999999E-2</v>
      </c>
      <c r="G14" s="3">
        <v>-0.19315299999999999</v>
      </c>
      <c r="H14" s="3">
        <v>1.8121100000000001E-2</v>
      </c>
      <c r="I14" s="3">
        <v>-0.19315299999999999</v>
      </c>
      <c r="J14" s="3">
        <v>1.8121100000000001E-2</v>
      </c>
    </row>
    <row r="15" spans="1:10" x14ac:dyDescent="0.25">
      <c r="A15">
        <v>2030</v>
      </c>
      <c r="B15" t="s">
        <v>30</v>
      </c>
      <c r="C15" s="3">
        <v>0.58278200000000002</v>
      </c>
      <c r="D15" s="3">
        <v>0.10402699999999999</v>
      </c>
      <c r="E15" s="3">
        <v>-0.164463</v>
      </c>
      <c r="F15" s="3">
        <v>-0.79209099999999999</v>
      </c>
      <c r="G15" s="3">
        <v>0.60653400000000002</v>
      </c>
      <c r="H15" s="3">
        <v>-0.14092299999999999</v>
      </c>
      <c r="I15" s="3">
        <v>0.60653400000000002</v>
      </c>
      <c r="J15" s="3">
        <v>-0.14092299999999999</v>
      </c>
    </row>
    <row r="16" spans="1:10" x14ac:dyDescent="0.25">
      <c r="A16">
        <v>2030</v>
      </c>
      <c r="B16" t="s">
        <v>32</v>
      </c>
      <c r="C16" s="3">
        <v>0.31482599999999999</v>
      </c>
      <c r="D16" s="3">
        <v>0.13494900000000001</v>
      </c>
      <c r="E16" s="3">
        <v>7.3186200000000007E-2</v>
      </c>
      <c r="F16" s="3">
        <v>-0.422985</v>
      </c>
      <c r="G16" s="3">
        <v>8.0937700000000001E-2</v>
      </c>
      <c r="H16" s="3">
        <v>-0.21012400000000001</v>
      </c>
      <c r="I16" s="3">
        <v>8.0937700000000001E-2</v>
      </c>
      <c r="J16" s="3">
        <v>-0.21012400000000001</v>
      </c>
    </row>
    <row r="17" spans="1:10" x14ac:dyDescent="0.25">
      <c r="A17">
        <v>2030</v>
      </c>
      <c r="B17" t="s">
        <v>34</v>
      </c>
      <c r="C17" s="3">
        <v>0.18662699999999999</v>
      </c>
      <c r="D17" s="3">
        <v>0.13239500000000001</v>
      </c>
      <c r="E17" s="3">
        <v>0.276003</v>
      </c>
      <c r="F17" s="3">
        <v>-0.14723700000000001</v>
      </c>
      <c r="G17" s="3">
        <v>0.23389199999999999</v>
      </c>
      <c r="H17" s="3">
        <v>-4.3865800000000003E-2</v>
      </c>
      <c r="I17" s="3">
        <v>0.23389199999999999</v>
      </c>
      <c r="J17" s="3">
        <v>-4.3865800000000003E-2</v>
      </c>
    </row>
    <row r="18" spans="1:10" x14ac:dyDescent="0.25">
      <c r="A18">
        <v>2030</v>
      </c>
      <c r="B18" t="s">
        <v>36</v>
      </c>
      <c r="C18" s="3">
        <v>7.4792600000000001E-2</v>
      </c>
      <c r="D18" s="3">
        <v>9.7571699999999997E-2</v>
      </c>
      <c r="E18" s="3">
        <v>-1.6110699999999999E-2</v>
      </c>
      <c r="F18" s="3">
        <v>-0.22469600000000001</v>
      </c>
      <c r="G18" s="3">
        <v>1.5412399999999999E-3</v>
      </c>
      <c r="H18" s="3">
        <v>-0.11333799999999999</v>
      </c>
      <c r="I18" s="3">
        <v>1.5412399999999999E-3</v>
      </c>
      <c r="J18" s="3">
        <v>-0.11333799999999999</v>
      </c>
    </row>
    <row r="19" spans="1:10" x14ac:dyDescent="0.25">
      <c r="A19">
        <v>2030</v>
      </c>
      <c r="B19" t="s">
        <v>38</v>
      </c>
      <c r="C19" s="3">
        <v>0.13758600000000001</v>
      </c>
      <c r="D19" s="3">
        <v>-0.11840199999999999</v>
      </c>
      <c r="E19" s="3">
        <v>-8.4456600000000007E-2</v>
      </c>
      <c r="F19" s="3">
        <v>-0.499311</v>
      </c>
      <c r="G19" s="3">
        <v>-0.12787100000000001</v>
      </c>
      <c r="H19" s="3">
        <v>-0.44479299999999999</v>
      </c>
      <c r="I19" s="3">
        <v>-0.12787100000000001</v>
      </c>
      <c r="J19" s="3">
        <v>-0.44479299999999999</v>
      </c>
    </row>
    <row r="20" spans="1:10" x14ac:dyDescent="0.25">
      <c r="A20">
        <v>2030</v>
      </c>
      <c r="B20" t="s">
        <v>40</v>
      </c>
      <c r="C20" s="3">
        <v>-1.34894E-2</v>
      </c>
      <c r="D20" s="3">
        <v>1.2223400000000001E-2</v>
      </c>
      <c r="E20" s="3">
        <v>1.85659E-2</v>
      </c>
      <c r="F20" s="3">
        <v>-0.22237100000000001</v>
      </c>
      <c r="G20" s="3">
        <v>-1.3331E-3</v>
      </c>
      <c r="H20" s="3">
        <v>-7.9028699999999993E-2</v>
      </c>
      <c r="I20" s="3">
        <v>-1.3331E-3</v>
      </c>
      <c r="J20" s="3">
        <v>-7.9028699999999993E-2</v>
      </c>
    </row>
    <row r="21" spans="1:10" x14ac:dyDescent="0.25">
      <c r="A21">
        <v>2030</v>
      </c>
      <c r="B21" t="s">
        <v>42</v>
      </c>
      <c r="C21" s="3">
        <v>0.26163700000000001</v>
      </c>
      <c r="D21" s="3">
        <v>0.129084</v>
      </c>
      <c r="E21" s="3">
        <v>-0.41921700000000001</v>
      </c>
      <c r="F21" s="3">
        <v>-0.44834499999999999</v>
      </c>
      <c r="G21" s="3">
        <v>0.308896</v>
      </c>
      <c r="H21" s="3">
        <v>-7.66212E-2</v>
      </c>
      <c r="I21" s="3">
        <v>0.308896</v>
      </c>
      <c r="J21" s="3">
        <v>-7.66212E-2</v>
      </c>
    </row>
    <row r="22" spans="1:10" x14ac:dyDescent="0.25">
      <c r="A22">
        <v>2030</v>
      </c>
      <c r="B22" t="s">
        <v>44</v>
      </c>
      <c r="C22" s="3">
        <v>1.65357E-2</v>
      </c>
      <c r="D22" s="3">
        <v>-1.55347E-2</v>
      </c>
      <c r="E22" s="3">
        <v>-9.7488699999999998E-2</v>
      </c>
      <c r="F22" s="3">
        <v>-0.22267899999999999</v>
      </c>
      <c r="G22" s="3">
        <v>-9.34923E-2</v>
      </c>
      <c r="H22" s="3">
        <v>-0.179837</v>
      </c>
      <c r="I22" s="3">
        <v>-9.34923E-2</v>
      </c>
      <c r="J22" s="3">
        <v>-0.179837</v>
      </c>
    </row>
    <row r="23" spans="1:10" x14ac:dyDescent="0.25">
      <c r="A23">
        <v>2030</v>
      </c>
      <c r="B23" t="s">
        <v>46</v>
      </c>
      <c r="C23" s="3">
        <v>0.35650500000000002</v>
      </c>
      <c r="D23" s="3">
        <v>0.15767100000000001</v>
      </c>
      <c r="E23" s="3">
        <v>0.22766400000000001</v>
      </c>
      <c r="F23" s="3">
        <v>-9.61003E-2</v>
      </c>
      <c r="G23" s="3">
        <v>0.24746699999999999</v>
      </c>
      <c r="H23" s="3">
        <v>2.89161E-2</v>
      </c>
      <c r="I23" s="3">
        <v>0.24746699999999999</v>
      </c>
      <c r="J23" s="3">
        <v>2.89161E-2</v>
      </c>
    </row>
    <row r="24" spans="1:10" x14ac:dyDescent="0.25">
      <c r="A24">
        <v>2030</v>
      </c>
      <c r="B24" t="s">
        <v>48</v>
      </c>
      <c r="C24" s="3">
        <v>0.333569</v>
      </c>
      <c r="D24" s="3">
        <v>0.12848100000000001</v>
      </c>
      <c r="E24" s="3">
        <v>-0.32477299999999998</v>
      </c>
      <c r="F24" s="3">
        <v>-0.73199800000000004</v>
      </c>
      <c r="G24" s="3">
        <v>5.7045199999999997E-2</v>
      </c>
      <c r="H24" s="3">
        <v>-0.35417599999999999</v>
      </c>
      <c r="I24" s="3">
        <v>5.7045199999999997E-2</v>
      </c>
      <c r="J24" s="3">
        <v>-0.35417599999999999</v>
      </c>
    </row>
    <row r="25" spans="1:10" x14ac:dyDescent="0.25">
      <c r="A25">
        <v>2030</v>
      </c>
      <c r="B25" t="s">
        <v>50</v>
      </c>
      <c r="C25" s="3">
        <v>7.2231799999999999E-2</v>
      </c>
      <c r="D25" s="3">
        <v>-3.6397100000000002E-2</v>
      </c>
      <c r="E25" s="3">
        <v>6.2358499999999997E-2</v>
      </c>
      <c r="F25" s="3">
        <v>-0.35704799999999998</v>
      </c>
      <c r="G25" s="3">
        <v>8.3415999999999994E-3</v>
      </c>
      <c r="H25" s="3">
        <v>-0.24929599999999999</v>
      </c>
      <c r="I25" s="3">
        <v>8.3415999999999994E-3</v>
      </c>
      <c r="J25" s="3">
        <v>-0.24929599999999999</v>
      </c>
    </row>
    <row r="26" spans="1:10" x14ac:dyDescent="0.25">
      <c r="A26">
        <v>2030</v>
      </c>
      <c r="B26" t="s">
        <v>52</v>
      </c>
      <c r="C26" s="3">
        <v>0.44012600000000002</v>
      </c>
      <c r="D26" s="3">
        <v>8.1531500000000007E-2</v>
      </c>
      <c r="E26" s="3">
        <v>-6.4538100000000001E-2</v>
      </c>
      <c r="F26" s="3">
        <v>-0.63646400000000003</v>
      </c>
      <c r="G26" s="3">
        <v>0.22695399999999999</v>
      </c>
      <c r="H26" s="3">
        <v>-0.30241000000000001</v>
      </c>
      <c r="I26" s="3">
        <v>0.22695399999999999</v>
      </c>
      <c r="J26" s="3">
        <v>-0.30241000000000001</v>
      </c>
    </row>
    <row r="27" spans="1:10" x14ac:dyDescent="0.25">
      <c r="A27">
        <v>2030</v>
      </c>
      <c r="B27" t="s">
        <v>54</v>
      </c>
      <c r="C27" s="3">
        <v>0.30151800000000001</v>
      </c>
      <c r="D27" s="3">
        <v>-2.8415699999999999E-2</v>
      </c>
      <c r="E27" s="3">
        <v>0.76158499999999996</v>
      </c>
      <c r="F27" s="3">
        <v>-0.185165</v>
      </c>
      <c r="G27" s="3">
        <v>9.9847000000000005E-2</v>
      </c>
      <c r="H27" s="3">
        <v>-0.34298000000000001</v>
      </c>
      <c r="I27" s="3">
        <v>9.9847000000000005E-2</v>
      </c>
      <c r="J27" s="3">
        <v>-0.34298000000000001</v>
      </c>
    </row>
    <row r="28" spans="1:10" x14ac:dyDescent="0.25">
      <c r="A28">
        <v>2030</v>
      </c>
      <c r="B28" t="s">
        <v>56</v>
      </c>
      <c r="C28" s="3">
        <v>-0.16364699999999999</v>
      </c>
      <c r="D28" s="3">
        <v>-0.123448</v>
      </c>
      <c r="E28" s="3">
        <v>-8.7416900000000006E-2</v>
      </c>
      <c r="F28" s="3">
        <v>-0.30658999999999997</v>
      </c>
      <c r="G28" s="3">
        <v>-0.15589700000000001</v>
      </c>
      <c r="H28" s="3">
        <v>-0.25541000000000003</v>
      </c>
      <c r="I28" s="3">
        <v>-0.15589700000000001</v>
      </c>
      <c r="J28" s="3">
        <v>-0.25541000000000003</v>
      </c>
    </row>
    <row r="29" spans="1:10" x14ac:dyDescent="0.25">
      <c r="A29">
        <v>2030</v>
      </c>
      <c r="B29" t="s">
        <v>58</v>
      </c>
      <c r="C29" s="3">
        <v>0.56438500000000003</v>
      </c>
      <c r="D29" s="3">
        <v>-6.4073000000000005E-2</v>
      </c>
      <c r="E29" s="3">
        <v>0.60370500000000005</v>
      </c>
      <c r="F29" s="3">
        <v>-0.53068899999999997</v>
      </c>
      <c r="G29" s="3">
        <v>0.56027300000000002</v>
      </c>
      <c r="H29" s="3">
        <v>-0.29378700000000002</v>
      </c>
      <c r="I29" s="3">
        <v>0.56027300000000002</v>
      </c>
      <c r="J29" s="3">
        <v>-0.29378700000000002</v>
      </c>
    </row>
    <row r="30" spans="1:10" x14ac:dyDescent="0.25">
      <c r="A30">
        <v>2030</v>
      </c>
      <c r="B30" t="s">
        <v>60</v>
      </c>
      <c r="C30" s="3">
        <v>0.22919400000000001</v>
      </c>
      <c r="D30" s="3">
        <v>0.17809</v>
      </c>
      <c r="E30" s="3">
        <v>0.28093200000000002</v>
      </c>
      <c r="F30" s="3">
        <v>-0.52191900000000002</v>
      </c>
      <c r="G30" s="3">
        <v>0.16356100000000001</v>
      </c>
      <c r="H30" s="3">
        <v>-0.19861300000000001</v>
      </c>
      <c r="I30" s="3">
        <v>0.16356100000000001</v>
      </c>
      <c r="J30" s="3">
        <v>-0.19861300000000001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D00F4-23A0-4C9F-8F4F-8A207941152B}">
  <dimension ref="A1:BE31"/>
  <sheetViews>
    <sheetView zoomScale="85" zoomScaleNormal="85" workbookViewId="0"/>
  </sheetViews>
  <sheetFormatPr defaultRowHeight="15" x14ac:dyDescent="0.25"/>
  <sheetData>
    <row r="1" spans="1:57" x14ac:dyDescent="0.25">
      <c r="A1" s="5"/>
      <c r="B1" s="5" t="s">
        <v>1</v>
      </c>
      <c r="C1" s="5" t="s">
        <v>1</v>
      </c>
      <c r="D1" s="5" t="s">
        <v>1</v>
      </c>
      <c r="E1" s="5" t="s">
        <v>1</v>
      </c>
      <c r="F1" s="5" t="s">
        <v>1</v>
      </c>
      <c r="G1" s="5" t="s">
        <v>1</v>
      </c>
      <c r="H1" s="5" t="s">
        <v>1</v>
      </c>
      <c r="I1" s="5" t="s">
        <v>1</v>
      </c>
      <c r="J1" s="5" t="s">
        <v>1</v>
      </c>
      <c r="K1" s="5" t="s">
        <v>1</v>
      </c>
      <c r="L1" s="5" t="s">
        <v>1</v>
      </c>
      <c r="M1" s="5" t="s">
        <v>1</v>
      </c>
      <c r="N1" s="5" t="s">
        <v>1</v>
      </c>
      <c r="O1" s="5" t="s">
        <v>1</v>
      </c>
      <c r="P1" s="5" t="s">
        <v>2</v>
      </c>
      <c r="Q1" s="5" t="s">
        <v>2</v>
      </c>
      <c r="R1" s="5" t="s">
        <v>2</v>
      </c>
      <c r="S1" s="5" t="s">
        <v>2</v>
      </c>
      <c r="T1" s="5" t="s">
        <v>2</v>
      </c>
      <c r="U1" s="5" t="s">
        <v>2</v>
      </c>
      <c r="V1" s="5" t="s">
        <v>2</v>
      </c>
      <c r="W1" s="5" t="s">
        <v>2</v>
      </c>
      <c r="X1" s="5" t="s">
        <v>2</v>
      </c>
      <c r="Y1" s="5" t="s">
        <v>2</v>
      </c>
      <c r="Z1" s="5" t="s">
        <v>2</v>
      </c>
      <c r="AA1" s="5" t="s">
        <v>2</v>
      </c>
      <c r="AB1" s="5" t="s">
        <v>2</v>
      </c>
      <c r="AC1" s="5" t="s">
        <v>2</v>
      </c>
      <c r="AD1" s="5" t="s">
        <v>3</v>
      </c>
      <c r="AE1" s="5" t="s">
        <v>3</v>
      </c>
      <c r="AF1" s="5" t="s">
        <v>3</v>
      </c>
      <c r="AG1" s="5" t="s">
        <v>3</v>
      </c>
      <c r="AH1" s="5" t="s">
        <v>3</v>
      </c>
      <c r="AI1" s="5" t="s">
        <v>3</v>
      </c>
      <c r="AJ1" s="5" t="s">
        <v>3</v>
      </c>
      <c r="AK1" s="5" t="s">
        <v>3</v>
      </c>
      <c r="AL1" s="5" t="s">
        <v>3</v>
      </c>
      <c r="AM1" s="5" t="s">
        <v>3</v>
      </c>
      <c r="AN1" s="5" t="s">
        <v>3</v>
      </c>
      <c r="AO1" s="5" t="s">
        <v>3</v>
      </c>
      <c r="AP1" s="5" t="s">
        <v>3</v>
      </c>
      <c r="AQ1" s="5" t="s">
        <v>3</v>
      </c>
      <c r="AR1" s="5" t="s">
        <v>4</v>
      </c>
      <c r="AS1" s="5" t="s">
        <v>4</v>
      </c>
      <c r="AT1" s="5" t="s">
        <v>4</v>
      </c>
      <c r="AU1" s="5" t="s">
        <v>4</v>
      </c>
      <c r="AV1" s="5" t="s">
        <v>4</v>
      </c>
      <c r="AW1" s="5" t="s">
        <v>4</v>
      </c>
      <c r="AX1" s="5" t="s">
        <v>4</v>
      </c>
      <c r="AY1" s="5" t="s">
        <v>4</v>
      </c>
      <c r="AZ1" s="5" t="s">
        <v>4</v>
      </c>
      <c r="BA1" s="5" t="s">
        <v>4</v>
      </c>
      <c r="BB1" s="5" t="s">
        <v>4</v>
      </c>
      <c r="BC1" s="5" t="s">
        <v>4</v>
      </c>
      <c r="BD1" s="5" t="s">
        <v>4</v>
      </c>
      <c r="BE1" s="5" t="s">
        <v>4</v>
      </c>
    </row>
    <row r="2" spans="1:57" x14ac:dyDescent="0.25">
      <c r="A2" s="5"/>
      <c r="B2" s="5">
        <v>2030</v>
      </c>
      <c r="C2" s="5">
        <v>2030</v>
      </c>
      <c r="D2" s="5">
        <v>2030</v>
      </c>
      <c r="E2" s="5">
        <v>2030</v>
      </c>
      <c r="F2" s="5">
        <v>2030</v>
      </c>
      <c r="G2" s="5">
        <v>2030</v>
      </c>
      <c r="H2" s="5">
        <v>2030</v>
      </c>
      <c r="I2" s="5">
        <v>2030</v>
      </c>
      <c r="J2" s="5">
        <v>2030</v>
      </c>
      <c r="K2" s="5">
        <v>2030</v>
      </c>
      <c r="L2" s="5">
        <v>2030</v>
      </c>
      <c r="M2" s="5">
        <v>2030</v>
      </c>
      <c r="N2" s="5">
        <v>2030</v>
      </c>
      <c r="O2" s="5">
        <v>2030</v>
      </c>
      <c r="P2" s="5">
        <v>2030</v>
      </c>
      <c r="Q2" s="5">
        <v>2030</v>
      </c>
      <c r="R2" s="5">
        <v>2030</v>
      </c>
      <c r="S2" s="5">
        <v>2030</v>
      </c>
      <c r="T2" s="5">
        <v>2030</v>
      </c>
      <c r="U2" s="5">
        <v>2030</v>
      </c>
      <c r="V2" s="5">
        <v>2030</v>
      </c>
      <c r="W2" s="5">
        <v>2030</v>
      </c>
      <c r="X2" s="5">
        <v>2030</v>
      </c>
      <c r="Y2" s="5">
        <v>2030</v>
      </c>
      <c r="Z2" s="5">
        <v>2030</v>
      </c>
      <c r="AA2" s="5">
        <v>2030</v>
      </c>
      <c r="AB2" s="5">
        <v>2030</v>
      </c>
      <c r="AC2" s="5">
        <v>2030</v>
      </c>
      <c r="AD2" s="5">
        <v>2030</v>
      </c>
      <c r="AE2" s="5">
        <v>2030</v>
      </c>
      <c r="AF2" s="5">
        <v>2030</v>
      </c>
      <c r="AG2" s="5">
        <v>2030</v>
      </c>
      <c r="AH2" s="5">
        <v>2030</v>
      </c>
      <c r="AI2" s="5">
        <v>2030</v>
      </c>
      <c r="AJ2" s="5">
        <v>2030</v>
      </c>
      <c r="AK2" s="5">
        <v>2030</v>
      </c>
      <c r="AL2" s="5">
        <v>2030</v>
      </c>
      <c r="AM2" s="5">
        <v>2030</v>
      </c>
      <c r="AN2" s="5">
        <v>2030</v>
      </c>
      <c r="AO2" s="5">
        <v>2030</v>
      </c>
      <c r="AP2" s="5">
        <v>2030</v>
      </c>
      <c r="AQ2" s="5">
        <v>2030</v>
      </c>
      <c r="AR2" s="5">
        <v>2030</v>
      </c>
      <c r="AS2" s="5">
        <v>2030</v>
      </c>
      <c r="AT2" s="5">
        <v>2030</v>
      </c>
      <c r="AU2" s="5">
        <v>2030</v>
      </c>
      <c r="AV2" s="5">
        <v>2030</v>
      </c>
      <c r="AW2" s="5">
        <v>2030</v>
      </c>
      <c r="AX2" s="5">
        <v>2030</v>
      </c>
      <c r="AY2" s="5">
        <v>2030</v>
      </c>
      <c r="AZ2" s="5">
        <v>2030</v>
      </c>
      <c r="BA2" s="5">
        <v>2030</v>
      </c>
      <c r="BB2" s="5">
        <v>2030</v>
      </c>
      <c r="BC2" s="5">
        <v>2030</v>
      </c>
      <c r="BD2" s="5">
        <v>2030</v>
      </c>
      <c r="BE2" s="5">
        <v>2030</v>
      </c>
    </row>
    <row r="3" spans="1:57" x14ac:dyDescent="0.25">
      <c r="A3" s="5"/>
      <c r="B3" s="5">
        <v>1</v>
      </c>
      <c r="C3" s="5">
        <v>2</v>
      </c>
      <c r="D3" s="5">
        <v>3</v>
      </c>
      <c r="E3" s="5">
        <v>4</v>
      </c>
      <c r="F3" s="5">
        <v>5</v>
      </c>
      <c r="G3" s="5">
        <v>6</v>
      </c>
      <c r="H3" s="5">
        <v>7</v>
      </c>
      <c r="I3" s="5">
        <v>8</v>
      </c>
      <c r="J3" s="5">
        <v>9</v>
      </c>
      <c r="K3" s="5">
        <v>10</v>
      </c>
      <c r="L3" s="5">
        <v>11</v>
      </c>
      <c r="M3" s="5">
        <v>12</v>
      </c>
      <c r="N3" s="5">
        <v>13</v>
      </c>
      <c r="O3" s="5">
        <v>14</v>
      </c>
      <c r="P3" s="5">
        <v>1</v>
      </c>
      <c r="Q3" s="5">
        <v>2</v>
      </c>
      <c r="R3" s="5">
        <v>3</v>
      </c>
      <c r="S3" s="5">
        <v>4</v>
      </c>
      <c r="T3" s="5">
        <v>5</v>
      </c>
      <c r="U3" s="5">
        <v>6</v>
      </c>
      <c r="V3" s="5">
        <v>7</v>
      </c>
      <c r="W3" s="5">
        <v>8</v>
      </c>
      <c r="X3" s="5">
        <v>9</v>
      </c>
      <c r="Y3" s="5">
        <v>10</v>
      </c>
      <c r="Z3" s="5">
        <v>11</v>
      </c>
      <c r="AA3" s="5">
        <v>12</v>
      </c>
      <c r="AB3" s="5">
        <v>13</v>
      </c>
      <c r="AC3" s="5">
        <v>14</v>
      </c>
      <c r="AD3" s="5">
        <v>1</v>
      </c>
      <c r="AE3" s="5">
        <v>2</v>
      </c>
      <c r="AF3" s="5">
        <v>3</v>
      </c>
      <c r="AG3" s="5">
        <v>4</v>
      </c>
      <c r="AH3" s="5">
        <v>5</v>
      </c>
      <c r="AI3" s="5">
        <v>6</v>
      </c>
      <c r="AJ3" s="5">
        <v>7</v>
      </c>
      <c r="AK3" s="5">
        <v>8</v>
      </c>
      <c r="AL3" s="5">
        <v>9</v>
      </c>
      <c r="AM3" s="5">
        <v>10</v>
      </c>
      <c r="AN3" s="5">
        <v>11</v>
      </c>
      <c r="AO3" s="5">
        <v>12</v>
      </c>
      <c r="AP3" s="5">
        <v>13</v>
      </c>
      <c r="AQ3" s="5">
        <v>14</v>
      </c>
      <c r="AR3" s="5">
        <v>1</v>
      </c>
      <c r="AS3" s="5">
        <v>2</v>
      </c>
      <c r="AT3" s="5">
        <v>3</v>
      </c>
      <c r="AU3" s="5">
        <v>4</v>
      </c>
      <c r="AV3" s="5">
        <v>5</v>
      </c>
      <c r="AW3" s="5">
        <v>6</v>
      </c>
      <c r="AX3" s="5">
        <v>7</v>
      </c>
      <c r="AY3" s="5">
        <v>8</v>
      </c>
      <c r="AZ3" s="5">
        <v>9</v>
      </c>
      <c r="BA3" s="5">
        <v>10</v>
      </c>
      <c r="BB3" s="5">
        <v>11</v>
      </c>
      <c r="BC3" s="5">
        <v>12</v>
      </c>
      <c r="BD3" s="5">
        <v>13</v>
      </c>
      <c r="BE3" s="5">
        <v>14</v>
      </c>
    </row>
    <row r="4" spans="1:57" x14ac:dyDescent="0.25">
      <c r="A4" s="5" t="s">
        <v>6</v>
      </c>
      <c r="B4" s="6">
        <v>0.150639</v>
      </c>
      <c r="C4" s="6">
        <v>8.4737099999999996E-2</v>
      </c>
      <c r="D4" s="6">
        <v>1.44129</v>
      </c>
      <c r="E4" s="6">
        <v>-3.5258400000000001</v>
      </c>
      <c r="F4" s="6">
        <v>5.4745099999999998E-2</v>
      </c>
      <c r="G4" s="6">
        <v>6.51944E-2</v>
      </c>
      <c r="H4" s="6">
        <v>4.3931199999999997E-2</v>
      </c>
      <c r="I4" s="6">
        <v>1.0698700000000001</v>
      </c>
      <c r="J4" s="6">
        <v>-0.87428600000000001</v>
      </c>
      <c r="K4" s="6">
        <v>0.40675099999999997</v>
      </c>
      <c r="L4" s="6">
        <v>-1.7310800000000001E-3</v>
      </c>
      <c r="M4" s="6">
        <v>8.6524299999999998E-2</v>
      </c>
      <c r="N4" s="6">
        <v>8.7249800000000002E-3</v>
      </c>
      <c r="O4" s="6">
        <v>1.7490100000000001E-2</v>
      </c>
      <c r="P4" s="6">
        <v>0.13659199999999999</v>
      </c>
      <c r="Q4" s="6">
        <v>2.1728600000000001E-2</v>
      </c>
      <c r="R4" s="6">
        <v>0.184252</v>
      </c>
      <c r="S4" s="6">
        <v>13.267899999999999</v>
      </c>
      <c r="T4" s="6">
        <v>5.0901799999999997E-2</v>
      </c>
      <c r="U4" s="6">
        <v>0.110081</v>
      </c>
      <c r="V4" s="6">
        <v>-2.8128899999999998E-2</v>
      </c>
      <c r="W4" s="6">
        <v>1.8176399999999999</v>
      </c>
      <c r="X4" s="6">
        <v>2.9830899999999998</v>
      </c>
      <c r="Y4" s="6">
        <v>1.65968</v>
      </c>
      <c r="Z4" s="6">
        <v>-0.162573</v>
      </c>
      <c r="AA4" s="6">
        <v>0.13919799999999999</v>
      </c>
      <c r="AB4" s="6">
        <v>-0.129021</v>
      </c>
      <c r="AC4" s="6">
        <v>-0.15746199999999999</v>
      </c>
      <c r="AD4" s="6">
        <v>0.113481</v>
      </c>
      <c r="AE4" s="6">
        <v>2.5437299999999999E-2</v>
      </c>
      <c r="AF4" s="6">
        <v>0.67983700000000002</v>
      </c>
      <c r="AG4" s="6">
        <v>-0.44225999999999999</v>
      </c>
      <c r="AH4" s="6">
        <v>2.6139200000000001E-2</v>
      </c>
      <c r="AI4" s="6">
        <v>6.1739599999999999E-2</v>
      </c>
      <c r="AJ4" s="6">
        <v>-1.84262E-2</v>
      </c>
      <c r="AK4" s="6">
        <v>1.0747899999999999</v>
      </c>
      <c r="AL4" s="6">
        <v>1.4190100000000001</v>
      </c>
      <c r="AM4" s="6">
        <v>1.21672</v>
      </c>
      <c r="AN4" s="6">
        <v>-0.104404</v>
      </c>
      <c r="AO4" s="6">
        <v>0.14053299999999999</v>
      </c>
      <c r="AP4" s="6">
        <v>-8.3749400000000002E-2</v>
      </c>
      <c r="AQ4" s="6">
        <v>-9.6685099999999996E-2</v>
      </c>
      <c r="AR4" s="6">
        <v>0.113481</v>
      </c>
      <c r="AS4" s="6">
        <v>2.5437299999999999E-2</v>
      </c>
      <c r="AT4" s="6">
        <v>1.40618</v>
      </c>
      <c r="AU4" s="6">
        <v>-0.13319500000000001</v>
      </c>
      <c r="AV4" s="6">
        <v>2.6139200000000001E-2</v>
      </c>
      <c r="AW4" s="6">
        <v>6.1739599999999999E-2</v>
      </c>
      <c r="AX4" s="6">
        <v>-1.84262E-2</v>
      </c>
      <c r="AY4" s="6">
        <v>1.0747899999999999</v>
      </c>
      <c r="AZ4" s="6">
        <v>1.4190100000000001</v>
      </c>
      <c r="BA4" s="6">
        <v>1.21672</v>
      </c>
      <c r="BB4" s="6">
        <v>-0.104404</v>
      </c>
      <c r="BC4" s="6">
        <v>0.14053299999999999</v>
      </c>
      <c r="BD4" s="6">
        <v>-8.3749400000000002E-2</v>
      </c>
      <c r="BE4" s="6">
        <v>-9.6685099999999996E-2</v>
      </c>
    </row>
    <row r="5" spans="1:57" x14ac:dyDescent="0.25">
      <c r="A5" s="5" t="s">
        <v>8</v>
      </c>
      <c r="B5" s="6">
        <v>0.13971</v>
      </c>
      <c r="C5" s="6">
        <v>0.12737200000000001</v>
      </c>
      <c r="D5" s="6">
        <v>1.2758</v>
      </c>
      <c r="E5" s="6">
        <v>-1.99715</v>
      </c>
      <c r="F5" s="6">
        <v>8.6170899999999995E-2</v>
      </c>
      <c r="G5" s="6">
        <v>7.9295699999999997E-2</v>
      </c>
      <c r="H5" s="6">
        <v>7.4404499999999998E-2</v>
      </c>
      <c r="I5" s="6">
        <v>0.98640799999999995</v>
      </c>
      <c r="J5" s="6">
        <v>-0.27779300000000001</v>
      </c>
      <c r="K5" s="6">
        <v>0.65190199999999998</v>
      </c>
      <c r="L5" s="6">
        <v>9.9099099999999996E-2</v>
      </c>
      <c r="M5" s="6">
        <v>0.20199700000000001</v>
      </c>
      <c r="N5" s="6">
        <v>9.1875200000000004E-2</v>
      </c>
      <c r="O5" s="6">
        <v>6.5027799999999997E-2</v>
      </c>
      <c r="P5" s="6">
        <v>0.116286</v>
      </c>
      <c r="Q5" s="6">
        <v>8.8077699999999995E-2</v>
      </c>
      <c r="R5" s="6">
        <v>0.121893</v>
      </c>
      <c r="S5" s="6">
        <v>16.1403</v>
      </c>
      <c r="T5" s="6">
        <v>9.5669199999999996E-2</v>
      </c>
      <c r="U5" s="6">
        <v>6.2463200000000003E-2</v>
      </c>
      <c r="V5" s="6">
        <v>4.0683400000000002E-2</v>
      </c>
      <c r="W5" s="6">
        <v>1.0298700000000001</v>
      </c>
      <c r="X5" s="6">
        <v>2.5726300000000002</v>
      </c>
      <c r="Y5" s="6">
        <v>1.8297600000000001</v>
      </c>
      <c r="Z5" s="6">
        <v>-6.6150799999999996E-2</v>
      </c>
      <c r="AA5" s="6">
        <v>0.222195</v>
      </c>
      <c r="AB5" s="6">
        <v>-1.43217E-2</v>
      </c>
      <c r="AC5" s="6">
        <v>-8.3452899999999997E-2</v>
      </c>
      <c r="AD5" s="6">
        <v>0.120461</v>
      </c>
      <c r="AE5" s="6">
        <v>9.7271800000000005E-2</v>
      </c>
      <c r="AF5" s="6">
        <v>0</v>
      </c>
      <c r="AG5" s="6">
        <v>4.8946500000000004</v>
      </c>
      <c r="AH5" s="6">
        <v>7.5045500000000001E-2</v>
      </c>
      <c r="AI5" s="6">
        <v>5.2942700000000002E-2</v>
      </c>
      <c r="AJ5" s="6">
        <v>3.8193600000000001E-2</v>
      </c>
      <c r="AK5" s="6">
        <v>1.04487</v>
      </c>
      <c r="AL5" s="6">
        <v>1.4308700000000001</v>
      </c>
      <c r="AM5" s="6">
        <v>1.4079600000000001</v>
      </c>
      <c r="AN5" s="6">
        <v>-6.6401999999999997E-3</v>
      </c>
      <c r="AO5" s="6">
        <v>0.229628</v>
      </c>
      <c r="AP5" s="6">
        <v>1.79857E-2</v>
      </c>
      <c r="AQ5" s="6">
        <v>-3.4630000000000001E-2</v>
      </c>
      <c r="AR5" s="6">
        <v>0.120461</v>
      </c>
      <c r="AS5" s="6">
        <v>9.7271800000000005E-2</v>
      </c>
      <c r="AT5" s="6">
        <v>0.80660900000000002</v>
      </c>
      <c r="AU5" s="6">
        <v>5.9129300000000002</v>
      </c>
      <c r="AV5" s="6">
        <v>7.5045500000000001E-2</v>
      </c>
      <c r="AW5" s="6">
        <v>5.2942700000000002E-2</v>
      </c>
      <c r="AX5" s="6">
        <v>3.8193600000000001E-2</v>
      </c>
      <c r="AY5" s="6">
        <v>1.04487</v>
      </c>
      <c r="AZ5" s="6">
        <v>1.4308700000000001</v>
      </c>
      <c r="BA5" s="6">
        <v>1.4079600000000001</v>
      </c>
      <c r="BB5" s="6">
        <v>-6.6401999999999997E-3</v>
      </c>
      <c r="BC5" s="6">
        <v>0.229628</v>
      </c>
      <c r="BD5" s="6">
        <v>1.79857E-2</v>
      </c>
      <c r="BE5" s="6">
        <v>-3.4630000000000001E-2</v>
      </c>
    </row>
    <row r="6" spans="1:57" x14ac:dyDescent="0.25">
      <c r="A6" s="5" t="s">
        <v>10</v>
      </c>
      <c r="B6" s="6">
        <v>5.2808399999999998E-2</v>
      </c>
      <c r="C6" s="6">
        <v>8.0410099999999998E-2</v>
      </c>
      <c r="D6" s="6">
        <v>1.2360100000000001</v>
      </c>
      <c r="E6" s="6">
        <v>-5.22421E-2</v>
      </c>
      <c r="F6" s="6">
        <v>6.4269400000000004E-2</v>
      </c>
      <c r="G6" s="6">
        <v>8.4014000000000005E-2</v>
      </c>
      <c r="H6" s="6">
        <v>0.106712</v>
      </c>
      <c r="I6" s="6">
        <v>0.61012999999999995</v>
      </c>
      <c r="J6" s="6">
        <v>-0.43203599999999998</v>
      </c>
      <c r="K6" s="6">
        <v>0.59900500000000001</v>
      </c>
      <c r="L6" s="6">
        <v>-4.4773800000000002E-2</v>
      </c>
      <c r="M6" s="6">
        <v>-2.7758100000000001E-2</v>
      </c>
      <c r="N6" s="6">
        <v>-2.2136699999999999E-2</v>
      </c>
      <c r="O6" s="6">
        <v>-6.1646199999999998E-2</v>
      </c>
      <c r="P6" s="6">
        <v>-0.22184799999999999</v>
      </c>
      <c r="Q6" s="6">
        <v>-0.140431</v>
      </c>
      <c r="R6" s="6">
        <v>0.37841399999999997</v>
      </c>
      <c r="S6" s="6">
        <v>-1.8808199999999999</v>
      </c>
      <c r="T6" s="6">
        <v>6.3238199999999994E-2</v>
      </c>
      <c r="U6" s="6">
        <v>7.4909799999999999E-2</v>
      </c>
      <c r="V6" s="6">
        <v>0.31021100000000001</v>
      </c>
      <c r="W6" s="6">
        <v>0.52385899999999996</v>
      </c>
      <c r="X6" s="6">
        <v>7.4973999999999998</v>
      </c>
      <c r="Y6" s="6">
        <v>2.1524800000000002</v>
      </c>
      <c r="Z6" s="6">
        <v>-0.54212099999999996</v>
      </c>
      <c r="AA6" s="6">
        <v>-0.44131100000000001</v>
      </c>
      <c r="AB6" s="6">
        <v>-0.40385199999999999</v>
      </c>
      <c r="AC6" s="6">
        <v>-0.36844500000000002</v>
      </c>
      <c r="AD6" s="6">
        <v>-0.10487100000000001</v>
      </c>
      <c r="AE6" s="6">
        <v>-1.97173E-2</v>
      </c>
      <c r="AF6" s="6">
        <v>1.2173</v>
      </c>
      <c r="AG6" s="6">
        <v>-0.96974800000000005</v>
      </c>
      <c r="AH6" s="6">
        <v>6.3521099999999997E-2</v>
      </c>
      <c r="AI6" s="6">
        <v>8.1900200000000006E-2</v>
      </c>
      <c r="AJ6" s="6">
        <v>0.24701699999999999</v>
      </c>
      <c r="AK6" s="6">
        <v>0.77303900000000003</v>
      </c>
      <c r="AL6" s="6">
        <v>4.8643299999999998</v>
      </c>
      <c r="AM6" s="6">
        <v>1.7274099999999999</v>
      </c>
      <c r="AN6" s="6">
        <v>-0.33274700000000001</v>
      </c>
      <c r="AO6" s="6">
        <v>-0.24974399999999999</v>
      </c>
      <c r="AP6" s="6">
        <v>-0.23994799999999999</v>
      </c>
      <c r="AQ6" s="6">
        <v>-0.19201799999999999</v>
      </c>
      <c r="AR6" s="6">
        <v>-0.10487100000000001</v>
      </c>
      <c r="AS6" s="6">
        <v>-1.97173E-2</v>
      </c>
      <c r="AT6" s="6">
        <v>1.60677</v>
      </c>
      <c r="AU6" s="6">
        <v>-0.96655199999999997</v>
      </c>
      <c r="AV6" s="6">
        <v>6.3521099999999997E-2</v>
      </c>
      <c r="AW6" s="6">
        <v>8.1900200000000006E-2</v>
      </c>
      <c r="AX6" s="6">
        <v>0.24701699999999999</v>
      </c>
      <c r="AY6" s="6">
        <v>0.77303900000000003</v>
      </c>
      <c r="AZ6" s="6">
        <v>4.8643299999999998</v>
      </c>
      <c r="BA6" s="6">
        <v>1.7274099999999999</v>
      </c>
      <c r="BB6" s="6">
        <v>-0.33274700000000001</v>
      </c>
      <c r="BC6" s="6">
        <v>-0.24974399999999999</v>
      </c>
      <c r="BD6" s="6">
        <v>-0.23994799999999999</v>
      </c>
      <c r="BE6" s="6">
        <v>-0.19201799999999999</v>
      </c>
    </row>
    <row r="7" spans="1:57" x14ac:dyDescent="0.25">
      <c r="A7" s="5" t="s">
        <v>12</v>
      </c>
      <c r="B7" s="6">
        <v>5.1200799999999998E-2</v>
      </c>
      <c r="C7" s="6">
        <v>3.6733500000000002E-2</v>
      </c>
      <c r="D7" s="6">
        <v>2.13544</v>
      </c>
      <c r="E7" s="6">
        <v>2.44191</v>
      </c>
      <c r="F7" s="6">
        <v>2.8084999999999999E-2</v>
      </c>
      <c r="G7" s="6">
        <v>2.0348000000000002E-2</v>
      </c>
      <c r="H7" s="6">
        <v>3.1925500000000002E-2</v>
      </c>
      <c r="I7" s="6">
        <v>0.87405500000000003</v>
      </c>
      <c r="J7" s="6">
        <v>-0.267177</v>
      </c>
      <c r="K7" s="6">
        <v>3.91851E-2</v>
      </c>
      <c r="L7" s="6">
        <v>3.06062E-2</v>
      </c>
      <c r="M7" s="6">
        <v>8.6268399999999995E-2</v>
      </c>
      <c r="N7" s="6">
        <v>3.3013399999999998E-2</v>
      </c>
      <c r="O7" s="6">
        <v>1.3138499999999999E-2</v>
      </c>
      <c r="P7" s="6">
        <v>0.121367</v>
      </c>
      <c r="Q7" s="6">
        <v>9.0617900000000001E-2</v>
      </c>
      <c r="R7" s="6">
        <v>0.38463999999999998</v>
      </c>
      <c r="S7" s="6">
        <v>6.6393599999999999</v>
      </c>
      <c r="T7" s="6">
        <v>0.14152699999999999</v>
      </c>
      <c r="U7" s="6">
        <v>0.449239</v>
      </c>
      <c r="V7" s="6">
        <v>0.100414</v>
      </c>
      <c r="W7" s="6">
        <v>1.7422</v>
      </c>
      <c r="X7" s="6">
        <v>5.2602900000000004</v>
      </c>
      <c r="Y7" s="6">
        <v>1.7189000000000001</v>
      </c>
      <c r="Z7" s="6">
        <v>7.2018299999999993E-2</v>
      </c>
      <c r="AA7" s="6">
        <v>0.27965099999999998</v>
      </c>
      <c r="AB7" s="6">
        <v>8.7870100000000007E-2</v>
      </c>
      <c r="AC7" s="6">
        <v>1.8981100000000001E-2</v>
      </c>
      <c r="AD7" s="6">
        <v>4.3351599999999997E-2</v>
      </c>
      <c r="AE7" s="6">
        <v>2.45499E-2</v>
      </c>
      <c r="AF7" s="6">
        <v>0.49048399999999998</v>
      </c>
      <c r="AG7" s="6">
        <v>0.36235600000000001</v>
      </c>
      <c r="AH7" s="6">
        <v>4.3544600000000003E-2</v>
      </c>
      <c r="AI7" s="6">
        <v>0.16614799999999999</v>
      </c>
      <c r="AJ7" s="6">
        <v>3.3275300000000001E-2</v>
      </c>
      <c r="AK7" s="6">
        <v>1.5742400000000001</v>
      </c>
      <c r="AL7" s="6">
        <v>2.9929000000000001</v>
      </c>
      <c r="AM7" s="6">
        <v>0.73471200000000003</v>
      </c>
      <c r="AN7" s="6">
        <v>1.1108399999999999E-2</v>
      </c>
      <c r="AO7" s="6">
        <v>0.193165</v>
      </c>
      <c r="AP7" s="6">
        <v>2.06638E-2</v>
      </c>
      <c r="AQ7" s="6">
        <v>-1.5924000000000001E-2</v>
      </c>
      <c r="AR7" s="6">
        <v>4.3351599999999997E-2</v>
      </c>
      <c r="AS7" s="6">
        <v>2.45499E-2</v>
      </c>
      <c r="AT7" s="6">
        <v>1.5012000000000001</v>
      </c>
      <c r="AU7" s="6">
        <v>2.24743</v>
      </c>
      <c r="AV7" s="6">
        <v>4.3544600000000003E-2</v>
      </c>
      <c r="AW7" s="6">
        <v>0.16614799999999999</v>
      </c>
      <c r="AX7" s="6">
        <v>3.3275300000000001E-2</v>
      </c>
      <c r="AY7" s="6">
        <v>1.5742400000000001</v>
      </c>
      <c r="AZ7" s="6">
        <v>2.9929000000000001</v>
      </c>
      <c r="BA7" s="6">
        <v>0.73471200000000003</v>
      </c>
      <c r="BB7" s="6">
        <v>1.1108399999999999E-2</v>
      </c>
      <c r="BC7" s="6">
        <v>0.193165</v>
      </c>
      <c r="BD7" s="6">
        <v>2.06638E-2</v>
      </c>
      <c r="BE7" s="6">
        <v>-1.5924000000000001E-2</v>
      </c>
    </row>
    <row r="8" spans="1:57" x14ac:dyDescent="0.25">
      <c r="A8" s="5" t="s">
        <v>14</v>
      </c>
      <c r="B8" s="6">
        <v>0.29681000000000002</v>
      </c>
      <c r="C8" s="6">
        <v>0.28099400000000002</v>
      </c>
      <c r="D8" s="6">
        <v>1.57433</v>
      </c>
      <c r="E8" s="6">
        <v>-1.30359</v>
      </c>
      <c r="F8" s="6">
        <v>0.21862500000000001</v>
      </c>
      <c r="G8" s="6">
        <v>0.186921</v>
      </c>
      <c r="H8" s="6">
        <v>0.24279600000000001</v>
      </c>
      <c r="I8" s="6">
        <v>0.238403</v>
      </c>
      <c r="J8" s="6">
        <v>-1.90333</v>
      </c>
      <c r="K8" s="6">
        <v>0.92216799999999999</v>
      </c>
      <c r="L8" s="6">
        <v>0.329926</v>
      </c>
      <c r="M8" s="6">
        <v>0.35614499999999999</v>
      </c>
      <c r="N8" s="6">
        <v>0.30646099999999998</v>
      </c>
      <c r="O8" s="6">
        <v>0.30512099999999998</v>
      </c>
      <c r="P8" s="6">
        <v>0.157135</v>
      </c>
      <c r="Q8" s="6">
        <v>9.6870800000000007E-2</v>
      </c>
      <c r="R8" s="6">
        <v>0.23788500000000001</v>
      </c>
      <c r="S8" s="6">
        <v>7.58826</v>
      </c>
      <c r="T8" s="6">
        <v>0.243613</v>
      </c>
      <c r="U8" s="6">
        <v>0.22631699999999999</v>
      </c>
      <c r="V8" s="6">
        <v>0.22755300000000001</v>
      </c>
      <c r="W8" s="6">
        <v>1.17879</v>
      </c>
      <c r="X8" s="6">
        <v>8.6777200000000008</v>
      </c>
      <c r="Y8" s="6">
        <v>2.73109</v>
      </c>
      <c r="Z8" s="6">
        <v>7.5992100000000007E-2</v>
      </c>
      <c r="AA8" s="6">
        <v>0.20114899999999999</v>
      </c>
      <c r="AB8" s="6">
        <v>0.10538599999999999</v>
      </c>
      <c r="AC8" s="6">
        <v>2.26781E-2</v>
      </c>
      <c r="AD8" s="6">
        <v>0.240845</v>
      </c>
      <c r="AE8" s="6">
        <v>0.19145300000000001</v>
      </c>
      <c r="AF8" s="6">
        <v>0</v>
      </c>
      <c r="AG8" s="6">
        <v>7.9316800000000001</v>
      </c>
      <c r="AH8" s="6">
        <v>0.22037499999999999</v>
      </c>
      <c r="AI8" s="6">
        <v>0.194442</v>
      </c>
      <c r="AJ8" s="6">
        <v>0.23350899999999999</v>
      </c>
      <c r="AK8" s="6">
        <v>1.1579699999999999</v>
      </c>
      <c r="AL8" s="6">
        <v>4.7055300000000004</v>
      </c>
      <c r="AM8" s="6">
        <v>2.42245</v>
      </c>
      <c r="AN8" s="6">
        <v>0.19730300000000001</v>
      </c>
      <c r="AO8" s="6">
        <v>0.30352299999999999</v>
      </c>
      <c r="AP8" s="6">
        <v>0.20075799999999999</v>
      </c>
      <c r="AQ8" s="6">
        <v>0.17120199999999999</v>
      </c>
      <c r="AR8" s="6">
        <v>0.240845</v>
      </c>
      <c r="AS8" s="6">
        <v>0.19145300000000001</v>
      </c>
      <c r="AT8" s="6">
        <v>1.12663</v>
      </c>
      <c r="AU8" s="6">
        <v>2.5926100000000001</v>
      </c>
      <c r="AV8" s="6">
        <v>0.22037499999999999</v>
      </c>
      <c r="AW8" s="6">
        <v>0.194442</v>
      </c>
      <c r="AX8" s="6">
        <v>0.23350899999999999</v>
      </c>
      <c r="AY8" s="6">
        <v>1.1579699999999999</v>
      </c>
      <c r="AZ8" s="6">
        <v>4.7055300000000004</v>
      </c>
      <c r="BA8" s="6">
        <v>2.42245</v>
      </c>
      <c r="BB8" s="6">
        <v>0.19730300000000001</v>
      </c>
      <c r="BC8" s="6">
        <v>0.30352299999999999</v>
      </c>
      <c r="BD8" s="6">
        <v>0.20075799999999999</v>
      </c>
      <c r="BE8" s="6">
        <v>0.17120199999999999</v>
      </c>
    </row>
    <row r="9" spans="1:57" x14ac:dyDescent="0.25">
      <c r="A9" s="5" t="s">
        <v>16</v>
      </c>
      <c r="B9" s="6">
        <v>0.12985099999999999</v>
      </c>
      <c r="C9" s="6">
        <v>0.103964</v>
      </c>
      <c r="D9" s="6">
        <v>0.86801600000000001</v>
      </c>
      <c r="E9" s="6">
        <v>3.8027000000000002</v>
      </c>
      <c r="F9" s="6">
        <v>8.9519699999999994E-2</v>
      </c>
      <c r="G9" s="6">
        <v>8.5762400000000003E-2</v>
      </c>
      <c r="H9" s="6">
        <v>8.1340399999999993E-2</v>
      </c>
      <c r="I9" s="6">
        <v>0.21688099999999999</v>
      </c>
      <c r="J9" s="6">
        <v>-0.74586699999999995</v>
      </c>
      <c r="K9" s="6">
        <v>0.18503600000000001</v>
      </c>
      <c r="L9" s="6">
        <v>8.7834400000000007E-2</v>
      </c>
      <c r="M9" s="6">
        <v>0.124227</v>
      </c>
      <c r="N9" s="6">
        <v>8.7677699999999997E-2</v>
      </c>
      <c r="O9" s="6">
        <v>5.6783E-2</v>
      </c>
      <c r="P9" s="6">
        <v>9.6525899999999998E-2</v>
      </c>
      <c r="Q9" s="6">
        <v>2.3493199999999999E-2</v>
      </c>
      <c r="R9" s="6">
        <v>0.191055</v>
      </c>
      <c r="S9" s="6">
        <v>16.553100000000001</v>
      </c>
      <c r="T9" s="6">
        <v>7.64595E-2</v>
      </c>
      <c r="U9" s="6">
        <v>0.110834</v>
      </c>
      <c r="V9" s="6">
        <v>2.5079600000000001E-2</v>
      </c>
      <c r="W9" s="6">
        <v>0.68839300000000003</v>
      </c>
      <c r="X9" s="6">
        <v>2.7406299999999999</v>
      </c>
      <c r="Y9" s="6">
        <v>1.2067300000000001</v>
      </c>
      <c r="Z9" s="6">
        <v>-5.77919E-2</v>
      </c>
      <c r="AA9" s="6">
        <v>0.13433700000000001</v>
      </c>
      <c r="AB9" s="6">
        <v>-3.2354000000000001E-2</v>
      </c>
      <c r="AC9" s="6">
        <v>-0.140852</v>
      </c>
      <c r="AD9" s="6">
        <v>0.110794</v>
      </c>
      <c r="AE9" s="6">
        <v>6.34826E-2</v>
      </c>
      <c r="AF9" s="6">
        <v>8.5586700000000002E-2</v>
      </c>
      <c r="AG9" s="6">
        <v>6.6381500000000004</v>
      </c>
      <c r="AH9" s="6">
        <v>7.7014700000000005E-2</v>
      </c>
      <c r="AI9" s="6">
        <v>8.8162000000000004E-2</v>
      </c>
      <c r="AJ9" s="6">
        <v>4.8829999999999998E-2</v>
      </c>
      <c r="AK9" s="6">
        <v>0.74173</v>
      </c>
      <c r="AL9" s="6">
        <v>1.3876200000000001</v>
      </c>
      <c r="AM9" s="6">
        <v>0.752861</v>
      </c>
      <c r="AN9" s="6">
        <v>2.41958E-2</v>
      </c>
      <c r="AO9" s="6">
        <v>0.16097400000000001</v>
      </c>
      <c r="AP9" s="6">
        <v>3.2864400000000002E-2</v>
      </c>
      <c r="AQ9" s="6">
        <v>-3.9942699999999998E-2</v>
      </c>
      <c r="AR9" s="6">
        <v>0.110794</v>
      </c>
      <c r="AS9" s="6">
        <v>6.34826E-2</v>
      </c>
      <c r="AT9" s="6">
        <v>0.211613</v>
      </c>
      <c r="AU9" s="6">
        <v>11.325699999999999</v>
      </c>
      <c r="AV9" s="6">
        <v>7.7014700000000005E-2</v>
      </c>
      <c r="AW9" s="6">
        <v>8.8162000000000004E-2</v>
      </c>
      <c r="AX9" s="6">
        <v>4.8829999999999998E-2</v>
      </c>
      <c r="AY9" s="6">
        <v>0.74173</v>
      </c>
      <c r="AZ9" s="6">
        <v>1.3876200000000001</v>
      </c>
      <c r="BA9" s="6">
        <v>0.752861</v>
      </c>
      <c r="BB9" s="6">
        <v>2.41958E-2</v>
      </c>
      <c r="BC9" s="6">
        <v>0.16097400000000001</v>
      </c>
      <c r="BD9" s="6">
        <v>3.2864400000000002E-2</v>
      </c>
      <c r="BE9" s="6">
        <v>-3.9942699999999998E-2</v>
      </c>
    </row>
    <row r="10" spans="1:57" x14ac:dyDescent="0.25">
      <c r="A10" s="5" t="s">
        <v>18</v>
      </c>
      <c r="B10" s="6">
        <v>9.1717199999999999E-2</v>
      </c>
      <c r="C10" s="6">
        <v>8.8739700000000005E-2</v>
      </c>
      <c r="D10" s="6">
        <v>0.83722300000000005</v>
      </c>
      <c r="E10" s="6">
        <v>-0.84904599999999997</v>
      </c>
      <c r="F10" s="6">
        <v>8.4776199999999996E-2</v>
      </c>
      <c r="G10" s="6">
        <v>8.5917099999999996E-2</v>
      </c>
      <c r="H10" s="6">
        <v>8.63709E-2</v>
      </c>
      <c r="I10" s="6">
        <v>-0.79120199999999996</v>
      </c>
      <c r="J10" s="6">
        <v>-0.15403600000000001</v>
      </c>
      <c r="K10" s="6">
        <v>0.46427600000000002</v>
      </c>
      <c r="L10" s="6">
        <v>7.3036599999999993E-2</v>
      </c>
      <c r="M10" s="6">
        <v>0.138349</v>
      </c>
      <c r="N10" s="6">
        <v>7.7675599999999997E-2</v>
      </c>
      <c r="O10" s="6">
        <v>7.7156199999999994E-2</v>
      </c>
      <c r="P10" s="6">
        <v>0.14463999999999999</v>
      </c>
      <c r="Q10" s="6">
        <v>0.130497</v>
      </c>
      <c r="R10" s="6">
        <v>0.17058100000000001</v>
      </c>
      <c r="S10" s="6">
        <v>8.4659399999999998</v>
      </c>
      <c r="T10" s="6">
        <v>0.150565</v>
      </c>
      <c r="U10" s="6">
        <v>0.15375</v>
      </c>
      <c r="V10" s="6">
        <v>0.13178599999999999</v>
      </c>
      <c r="W10" s="6">
        <v>0.69892600000000005</v>
      </c>
      <c r="X10" s="6">
        <v>1.92824</v>
      </c>
      <c r="Y10" s="6">
        <v>1.4838199999999999</v>
      </c>
      <c r="Z10" s="6">
        <v>8.4003900000000006E-2</v>
      </c>
      <c r="AA10" s="6">
        <v>0.29372700000000002</v>
      </c>
      <c r="AB10" s="6">
        <v>9.8323300000000002E-2</v>
      </c>
      <c r="AC10" s="6">
        <v>7.6056399999999996E-2</v>
      </c>
      <c r="AD10" s="6">
        <v>8.90793E-2</v>
      </c>
      <c r="AE10" s="6">
        <v>8.6688699999999994E-2</v>
      </c>
      <c r="AF10" s="6">
        <v>0.33473900000000001</v>
      </c>
      <c r="AG10" s="6">
        <v>-0.68966799999999995</v>
      </c>
      <c r="AH10" s="6">
        <v>9.2754199999999995E-2</v>
      </c>
      <c r="AI10" s="6">
        <v>9.3831999999999999E-2</v>
      </c>
      <c r="AJ10" s="6">
        <v>8.9728299999999997E-2</v>
      </c>
      <c r="AK10" s="6">
        <v>0.128139</v>
      </c>
      <c r="AL10" s="6">
        <v>0.90644000000000002</v>
      </c>
      <c r="AM10" s="6">
        <v>1.18727</v>
      </c>
      <c r="AN10" s="6">
        <v>5.2640899999999997E-2</v>
      </c>
      <c r="AO10" s="6">
        <v>0.231186</v>
      </c>
      <c r="AP10" s="6">
        <v>6.4330999999999999E-2</v>
      </c>
      <c r="AQ10" s="6">
        <v>5.92682E-2</v>
      </c>
      <c r="AR10" s="6">
        <v>8.90793E-2</v>
      </c>
      <c r="AS10" s="6">
        <v>8.6688699999999994E-2</v>
      </c>
      <c r="AT10" s="6">
        <v>0.71990399999999999</v>
      </c>
      <c r="AU10" s="6">
        <v>-0.66070799999999996</v>
      </c>
      <c r="AV10" s="6">
        <v>9.2754199999999995E-2</v>
      </c>
      <c r="AW10" s="6">
        <v>9.3831999999999999E-2</v>
      </c>
      <c r="AX10" s="6">
        <v>8.9728299999999997E-2</v>
      </c>
      <c r="AY10" s="6">
        <v>0.128139</v>
      </c>
      <c r="AZ10" s="6">
        <v>0.90644000000000002</v>
      </c>
      <c r="BA10" s="6">
        <v>1.18727</v>
      </c>
      <c r="BB10" s="6">
        <v>5.2640899999999997E-2</v>
      </c>
      <c r="BC10" s="6">
        <v>0.231186</v>
      </c>
      <c r="BD10" s="6">
        <v>6.4330999999999999E-2</v>
      </c>
      <c r="BE10" s="6">
        <v>5.92682E-2</v>
      </c>
    </row>
    <row r="11" spans="1:57" x14ac:dyDescent="0.25">
      <c r="A11" s="5" t="s">
        <v>20</v>
      </c>
      <c r="B11" s="6">
        <v>0.129021</v>
      </c>
      <c r="C11" s="6">
        <v>0.10926900000000001</v>
      </c>
      <c r="D11" s="6">
        <v>2.7067800000000002</v>
      </c>
      <c r="E11" s="6">
        <v>-2.7597900000000002</v>
      </c>
      <c r="F11" s="6">
        <v>9.7531699999999999E-2</v>
      </c>
      <c r="G11" s="6">
        <v>0.10173599999999999</v>
      </c>
      <c r="H11" s="6">
        <v>8.8156999999999999E-2</v>
      </c>
      <c r="I11" s="6">
        <v>0.84066200000000002</v>
      </c>
      <c r="J11" s="6">
        <v>-1.0638700000000001</v>
      </c>
      <c r="K11" s="6">
        <v>0.49650899999999998</v>
      </c>
      <c r="L11" s="6">
        <v>0.130494</v>
      </c>
      <c r="M11" s="6">
        <v>0.205316</v>
      </c>
      <c r="N11" s="6">
        <v>0.122627</v>
      </c>
      <c r="O11" s="6">
        <v>7.8141799999999997E-2</v>
      </c>
      <c r="P11" s="6">
        <v>0.101478</v>
      </c>
      <c r="Q11" s="6">
        <v>6.6824199999999997E-3</v>
      </c>
      <c r="R11" s="6">
        <v>7.8693899999999997E-2</v>
      </c>
      <c r="S11" s="6">
        <v>9.6182200000000009</v>
      </c>
      <c r="T11" s="6">
        <v>2.7870099999999998E-2</v>
      </c>
      <c r="U11" s="6">
        <v>9.1219800000000004E-2</v>
      </c>
      <c r="V11" s="6">
        <v>3.4585600000000001E-2</v>
      </c>
      <c r="W11" s="6">
        <v>1.24681</v>
      </c>
      <c r="X11" s="6">
        <v>3.42225</v>
      </c>
      <c r="Y11" s="6">
        <v>2.2808799999999998</v>
      </c>
      <c r="Z11" s="6">
        <v>-9.7333100000000006E-2</v>
      </c>
      <c r="AA11" s="6">
        <v>0.12656200000000001</v>
      </c>
      <c r="AB11" s="6">
        <v>-7.36348E-2</v>
      </c>
      <c r="AC11" s="6">
        <v>-7.3334200000000002E-2</v>
      </c>
      <c r="AD11" s="6">
        <v>0.104436</v>
      </c>
      <c r="AE11" s="6">
        <v>5.5031299999999998E-2</v>
      </c>
      <c r="AF11" s="6">
        <v>1.0741000000000001</v>
      </c>
      <c r="AG11" s="6">
        <v>0.447465</v>
      </c>
      <c r="AH11" s="6">
        <v>5.6279900000000001E-2</v>
      </c>
      <c r="AI11" s="6">
        <v>7.9664299999999993E-2</v>
      </c>
      <c r="AJ11" s="6">
        <v>5.8470599999999998E-2</v>
      </c>
      <c r="AK11" s="6">
        <v>0.78915400000000002</v>
      </c>
      <c r="AL11" s="6">
        <v>1.67465</v>
      </c>
      <c r="AM11" s="6">
        <v>1.5613999999999999</v>
      </c>
      <c r="AN11" s="6">
        <v>2.1753700000000001E-2</v>
      </c>
      <c r="AO11" s="6">
        <v>0.216164</v>
      </c>
      <c r="AP11" s="6">
        <v>2.7666900000000001E-2</v>
      </c>
      <c r="AQ11" s="6">
        <v>6.18551E-3</v>
      </c>
      <c r="AR11" s="6">
        <v>0.104436</v>
      </c>
      <c r="AS11" s="6">
        <v>5.5031299999999998E-2</v>
      </c>
      <c r="AT11" s="6">
        <v>1.8288</v>
      </c>
      <c r="AU11" s="6">
        <v>0.89176999999999995</v>
      </c>
      <c r="AV11" s="6">
        <v>5.6279900000000001E-2</v>
      </c>
      <c r="AW11" s="6">
        <v>7.9664299999999993E-2</v>
      </c>
      <c r="AX11" s="6">
        <v>5.8470599999999998E-2</v>
      </c>
      <c r="AY11" s="6">
        <v>0.78915400000000002</v>
      </c>
      <c r="AZ11" s="6">
        <v>1.67465</v>
      </c>
      <c r="BA11" s="6">
        <v>1.5613999999999999</v>
      </c>
      <c r="BB11" s="6">
        <v>2.1753700000000001E-2</v>
      </c>
      <c r="BC11" s="6">
        <v>0.216164</v>
      </c>
      <c r="BD11" s="6">
        <v>2.7666900000000001E-2</v>
      </c>
      <c r="BE11" s="6">
        <v>6.18551E-3</v>
      </c>
    </row>
    <row r="12" spans="1:57" x14ac:dyDescent="0.25">
      <c r="A12" s="5" t="s">
        <v>22</v>
      </c>
      <c r="B12" s="6">
        <v>0.121597</v>
      </c>
      <c r="C12" s="6">
        <v>9.1953499999999994E-2</v>
      </c>
      <c r="D12" s="6">
        <v>0.74150400000000005</v>
      </c>
      <c r="E12" s="6">
        <v>-1.2148099999999999</v>
      </c>
      <c r="F12" s="6">
        <v>8.0055100000000004E-2</v>
      </c>
      <c r="G12" s="6">
        <v>9.6225599999999994E-2</v>
      </c>
      <c r="H12" s="6">
        <v>6.5819199999999994E-2</v>
      </c>
      <c r="I12" s="6">
        <v>-3.3299300000000001</v>
      </c>
      <c r="J12" s="6">
        <v>-6.9686500000000002</v>
      </c>
      <c r="K12" s="6">
        <v>0.19083600000000001</v>
      </c>
      <c r="L12" s="6">
        <v>5.7168799999999999E-2</v>
      </c>
      <c r="M12" s="6">
        <v>4.94466E-2</v>
      </c>
      <c r="N12" s="6">
        <v>6.4879900000000004E-2</v>
      </c>
      <c r="O12" s="6">
        <v>-2.4675900000000001E-2</v>
      </c>
      <c r="P12" s="6">
        <v>6.9813200000000006E-2</v>
      </c>
      <c r="Q12" s="6">
        <v>5.1243900000000002E-2</v>
      </c>
      <c r="R12" s="6">
        <v>-7.9496999999999998E-2</v>
      </c>
      <c r="S12" s="6">
        <v>5.2976000000000001</v>
      </c>
      <c r="T12" s="6">
        <v>0.131768</v>
      </c>
      <c r="U12" s="6">
        <v>0.26450499999999999</v>
      </c>
      <c r="V12" s="6">
        <v>0.13067799999999999</v>
      </c>
      <c r="W12" s="6">
        <v>6.6371899999999998E-2</v>
      </c>
      <c r="X12" s="6">
        <v>-0.17521</v>
      </c>
      <c r="Y12" s="6">
        <v>0.79846200000000001</v>
      </c>
      <c r="Z12" s="6">
        <v>-0.100032</v>
      </c>
      <c r="AA12" s="6">
        <v>-8.7124400000000005E-2</v>
      </c>
      <c r="AB12" s="6">
        <v>-1.49626E-2</v>
      </c>
      <c r="AC12" s="6">
        <v>-0.14428199999999999</v>
      </c>
      <c r="AD12" s="6">
        <v>9.4644300000000001E-2</v>
      </c>
      <c r="AE12" s="6">
        <v>7.8673800000000002E-2</v>
      </c>
      <c r="AF12" s="6">
        <v>0.96776200000000001</v>
      </c>
      <c r="AG12" s="6">
        <v>-2.30965</v>
      </c>
      <c r="AH12" s="6">
        <v>0.107728</v>
      </c>
      <c r="AI12" s="6">
        <v>0.15834899999999999</v>
      </c>
      <c r="AJ12" s="6">
        <v>0.106737</v>
      </c>
      <c r="AK12" s="6">
        <v>-0.23935400000000001</v>
      </c>
      <c r="AL12" s="6">
        <v>-1.87479</v>
      </c>
      <c r="AM12" s="6">
        <v>0.75709099999999996</v>
      </c>
      <c r="AN12" s="6">
        <v>1.05349E-2</v>
      </c>
      <c r="AO12" s="6">
        <v>1.3280800000000001E-2</v>
      </c>
      <c r="AP12" s="6">
        <v>4.80557E-2</v>
      </c>
      <c r="AQ12" s="6">
        <v>-5.3136299999999997E-2</v>
      </c>
      <c r="AR12" s="6">
        <v>9.4644300000000001E-2</v>
      </c>
      <c r="AS12" s="6">
        <v>7.8673800000000002E-2</v>
      </c>
      <c r="AT12" s="6">
        <v>0.96776200000000001</v>
      </c>
      <c r="AU12" s="6">
        <v>-2.30965</v>
      </c>
      <c r="AV12" s="6">
        <v>0.107728</v>
      </c>
      <c r="AW12" s="6">
        <v>0.15834899999999999</v>
      </c>
      <c r="AX12" s="6">
        <v>0.106737</v>
      </c>
      <c r="AY12" s="6">
        <v>-0.23935400000000001</v>
      </c>
      <c r="AZ12" s="6">
        <v>-1.87479</v>
      </c>
      <c r="BA12" s="6">
        <v>0.75709099999999996</v>
      </c>
      <c r="BB12" s="6">
        <v>1.05349E-2</v>
      </c>
      <c r="BC12" s="6">
        <v>1.3280800000000001E-2</v>
      </c>
      <c r="BD12" s="6">
        <v>4.80557E-2</v>
      </c>
      <c r="BE12" s="6">
        <v>-5.3136299999999997E-2</v>
      </c>
    </row>
    <row r="13" spans="1:57" x14ac:dyDescent="0.25">
      <c r="A13" s="5" t="s">
        <v>24</v>
      </c>
      <c r="B13" s="6">
        <v>0.211871</v>
      </c>
      <c r="C13" s="6">
        <v>0.21393499999999999</v>
      </c>
      <c r="D13" s="6">
        <v>0.54148099999999999</v>
      </c>
      <c r="E13" s="6">
        <v>3.2315200000000002</v>
      </c>
      <c r="F13" s="6">
        <v>0.186969</v>
      </c>
      <c r="G13" s="6">
        <v>0.14297199999999999</v>
      </c>
      <c r="H13" s="6">
        <v>0.20245299999999999</v>
      </c>
      <c r="I13" s="6">
        <v>-1.17056</v>
      </c>
      <c r="J13" s="6">
        <v>-1.36622</v>
      </c>
      <c r="K13" s="6">
        <v>7.6106900000000005E-2</v>
      </c>
      <c r="L13" s="6">
        <v>0.212951</v>
      </c>
      <c r="M13" s="6">
        <v>0.20452999999999999</v>
      </c>
      <c r="N13" s="6">
        <v>0.21632000000000001</v>
      </c>
      <c r="O13" s="6">
        <v>0.23397699999999999</v>
      </c>
      <c r="P13" s="6">
        <v>0.28946699999999997</v>
      </c>
      <c r="Q13" s="6">
        <v>0.14127100000000001</v>
      </c>
      <c r="R13" s="6">
        <v>9.3710100000000005E-2</v>
      </c>
      <c r="S13" s="6">
        <v>6.8790899999999997</v>
      </c>
      <c r="T13" s="6">
        <v>0.105836</v>
      </c>
      <c r="U13" s="6">
        <v>0.117756</v>
      </c>
      <c r="V13" s="6">
        <v>8.4234299999999998E-2</v>
      </c>
      <c r="W13" s="6">
        <v>1.39411</v>
      </c>
      <c r="X13" s="6">
        <v>2.4860500000000001</v>
      </c>
      <c r="Y13" s="6">
        <v>0.98156500000000002</v>
      </c>
      <c r="Z13" s="6">
        <v>2.4814800000000001E-2</v>
      </c>
      <c r="AA13" s="6">
        <v>0.11757099999999999</v>
      </c>
      <c r="AB13" s="6">
        <v>3.4112700000000003E-2</v>
      </c>
      <c r="AC13" s="6">
        <v>-6.4869099999999999E-2</v>
      </c>
      <c r="AD13" s="6">
        <v>0.29874499999999998</v>
      </c>
      <c r="AE13" s="6">
        <v>0.15758900000000001</v>
      </c>
      <c r="AF13" s="6">
        <v>0</v>
      </c>
      <c r="AG13" s="6">
        <v>8.0180399999999992</v>
      </c>
      <c r="AH13" s="6">
        <v>0.100203</v>
      </c>
      <c r="AI13" s="6">
        <v>9.9982100000000004E-2</v>
      </c>
      <c r="AJ13" s="6">
        <v>8.3018400000000006E-2</v>
      </c>
      <c r="AK13" s="6">
        <v>0.44728800000000002</v>
      </c>
      <c r="AL13" s="6">
        <v>0.96531100000000003</v>
      </c>
      <c r="AM13" s="6">
        <v>0.67775600000000003</v>
      </c>
      <c r="AN13" s="6">
        <v>5.9878300000000002E-2</v>
      </c>
      <c r="AO13" s="6">
        <v>0.13114100000000001</v>
      </c>
      <c r="AP13" s="6">
        <v>6.4647499999999997E-2</v>
      </c>
      <c r="AQ13" s="6">
        <v>-1.24236E-2</v>
      </c>
      <c r="AR13" s="6">
        <v>0.29874499999999998</v>
      </c>
      <c r="AS13" s="6">
        <v>0.15758900000000001</v>
      </c>
      <c r="AT13" s="6">
        <v>-2.1986200000000001E-3</v>
      </c>
      <c r="AU13" s="6">
        <v>8.0180399999999992</v>
      </c>
      <c r="AV13" s="6">
        <v>0.100203</v>
      </c>
      <c r="AW13" s="6">
        <v>9.9982100000000004E-2</v>
      </c>
      <c r="AX13" s="6">
        <v>8.3018400000000006E-2</v>
      </c>
      <c r="AY13" s="6">
        <v>0.44728800000000002</v>
      </c>
      <c r="AZ13" s="6">
        <v>0.96531100000000003</v>
      </c>
      <c r="BA13" s="6">
        <v>0.67775600000000003</v>
      </c>
      <c r="BB13" s="6">
        <v>5.9878300000000002E-2</v>
      </c>
      <c r="BC13" s="6">
        <v>0.13114100000000001</v>
      </c>
      <c r="BD13" s="6">
        <v>6.4647499999999997E-2</v>
      </c>
      <c r="BE13" s="6">
        <v>-1.24236E-2</v>
      </c>
    </row>
    <row r="14" spans="1:57" x14ac:dyDescent="0.25">
      <c r="A14" s="5" t="s">
        <v>26</v>
      </c>
      <c r="B14" s="6">
        <v>0.20203499999999999</v>
      </c>
      <c r="C14" s="6">
        <v>8.4190500000000001E-2</v>
      </c>
      <c r="D14" s="6">
        <v>1.63713</v>
      </c>
      <c r="E14" s="6">
        <v>1.82219</v>
      </c>
      <c r="F14" s="6">
        <v>6.2483700000000003E-2</v>
      </c>
      <c r="G14" s="6">
        <v>4.0779000000000003E-2</v>
      </c>
      <c r="H14" s="6">
        <v>2.9828199999999999E-2</v>
      </c>
      <c r="I14" s="6">
        <v>-0.67069999999999996</v>
      </c>
      <c r="J14" s="6">
        <v>-1.22079</v>
      </c>
      <c r="K14" s="6">
        <v>0.27300400000000002</v>
      </c>
      <c r="L14" s="6">
        <v>5.1683800000000002E-2</v>
      </c>
      <c r="M14" s="6">
        <v>9.1425000000000006E-2</v>
      </c>
      <c r="N14" s="6">
        <v>4.8370400000000001E-2</v>
      </c>
      <c r="O14" s="6">
        <v>-1.5913699999999999E-3</v>
      </c>
      <c r="P14" s="6">
        <v>0.17386799999999999</v>
      </c>
      <c r="Q14" s="6">
        <v>5.2839299999999999E-2</v>
      </c>
      <c r="R14" s="6">
        <v>6.3437800000000003E-2</v>
      </c>
      <c r="S14" s="6">
        <v>9.5409900000000007</v>
      </c>
      <c r="T14" s="6">
        <v>0.106055</v>
      </c>
      <c r="U14" s="6">
        <v>9.5011399999999996E-2</v>
      </c>
      <c r="V14" s="6">
        <v>2.45125E-2</v>
      </c>
      <c r="W14" s="6">
        <v>0.75009999999999999</v>
      </c>
      <c r="X14" s="6">
        <v>2.45106</v>
      </c>
      <c r="Y14" s="6">
        <v>1.6454599999999999</v>
      </c>
      <c r="Z14" s="6">
        <v>-2.0799600000000001E-2</v>
      </c>
      <c r="AA14" s="6">
        <v>0.16733200000000001</v>
      </c>
      <c r="AB14" s="6">
        <v>-7.5731100000000001E-3</v>
      </c>
      <c r="AC14" s="6">
        <v>-6.6021999999999997E-2</v>
      </c>
      <c r="AD14" s="6">
        <v>0.16212399999999999</v>
      </c>
      <c r="AE14" s="6">
        <v>3.8476499999999997E-2</v>
      </c>
      <c r="AF14" s="6">
        <v>0.68482399999999999</v>
      </c>
      <c r="AG14" s="6">
        <v>-0.16372300000000001</v>
      </c>
      <c r="AH14" s="6">
        <v>5.2123000000000003E-2</v>
      </c>
      <c r="AI14" s="6">
        <v>3.4452200000000002E-2</v>
      </c>
      <c r="AJ14" s="6">
        <v>-3.7731000000000002E-3</v>
      </c>
      <c r="AK14" s="6">
        <v>-3.13265E-2</v>
      </c>
      <c r="AL14" s="6">
        <v>0.95391999999999999</v>
      </c>
      <c r="AM14" s="6">
        <v>1.1360699999999999</v>
      </c>
      <c r="AN14" s="6">
        <v>-1.8636199999999999E-2</v>
      </c>
      <c r="AO14" s="6">
        <v>0.13635800000000001</v>
      </c>
      <c r="AP14" s="6">
        <v>-1.3108099999999999E-2</v>
      </c>
      <c r="AQ14" s="6">
        <v>-6.6580200000000006E-2</v>
      </c>
      <c r="AR14" s="6">
        <v>0.16212399999999999</v>
      </c>
      <c r="AS14" s="6">
        <v>3.8476499999999997E-2</v>
      </c>
      <c r="AT14" s="6">
        <v>1.30602</v>
      </c>
      <c r="AU14" s="6">
        <v>-0.17068800000000001</v>
      </c>
      <c r="AV14" s="6">
        <v>5.2123000000000003E-2</v>
      </c>
      <c r="AW14" s="6">
        <v>3.4452200000000002E-2</v>
      </c>
      <c r="AX14" s="6">
        <v>-3.7731000000000002E-3</v>
      </c>
      <c r="AY14" s="6">
        <v>-3.13265E-2</v>
      </c>
      <c r="AZ14" s="6">
        <v>0.95391999999999999</v>
      </c>
      <c r="BA14" s="6">
        <v>1.1360699999999999</v>
      </c>
      <c r="BB14" s="6">
        <v>-1.8636199999999999E-2</v>
      </c>
      <c r="BC14" s="6">
        <v>0.13635800000000001</v>
      </c>
      <c r="BD14" s="6">
        <v>-1.3108099999999999E-2</v>
      </c>
      <c r="BE14" s="6">
        <v>-6.6580200000000006E-2</v>
      </c>
    </row>
    <row r="15" spans="1:57" x14ac:dyDescent="0.25">
      <c r="A15" s="5" t="s">
        <v>28</v>
      </c>
      <c r="B15" s="6">
        <v>3.9729300000000002E-2</v>
      </c>
      <c r="C15" s="6">
        <v>7.1792599999999998E-3</v>
      </c>
      <c r="D15" s="6">
        <v>-1.4961600000000001E-4</v>
      </c>
      <c r="E15" s="6">
        <v>-3.3289300000000001E-2</v>
      </c>
      <c r="F15" s="6">
        <v>1.13577E-2</v>
      </c>
      <c r="G15" s="6">
        <v>2.20495E-2</v>
      </c>
      <c r="H15" s="6">
        <v>1.2722799999999999E-2</v>
      </c>
      <c r="I15" s="6">
        <v>5.9825099999999999E-2</v>
      </c>
      <c r="J15" s="6">
        <v>7.6960600000000002E-3</v>
      </c>
      <c r="K15" s="6">
        <v>1.76534E-2</v>
      </c>
      <c r="L15" s="6">
        <v>2.1331100000000001E-3</v>
      </c>
      <c r="M15" s="6">
        <v>3.1931799999999999E-3</v>
      </c>
      <c r="N15" s="6">
        <v>3.44503E-3</v>
      </c>
      <c r="O15" s="6">
        <v>4.0803599999999999E-3</v>
      </c>
      <c r="P15" s="6">
        <v>9.8604499999999998E-2</v>
      </c>
      <c r="Q15" s="6">
        <v>4.9033800000000002E-2</v>
      </c>
      <c r="R15" s="6">
        <v>3.19107E-2</v>
      </c>
      <c r="S15" s="6">
        <v>2.3217600000000001E-2</v>
      </c>
      <c r="T15" s="6">
        <v>5.6565699999999997E-2</v>
      </c>
      <c r="U15" s="6">
        <v>7.4086299999999994E-2</v>
      </c>
      <c r="V15" s="6">
        <v>5.8309899999999998E-2</v>
      </c>
      <c r="W15" s="6">
        <v>0.116145</v>
      </c>
      <c r="X15" s="6">
        <v>6.7381200000000002E-2</v>
      </c>
      <c r="Y15" s="6">
        <v>0.21362</v>
      </c>
      <c r="Z15" s="6">
        <v>3.9425599999999998E-2</v>
      </c>
      <c r="AA15" s="6">
        <v>5.1213700000000001E-2</v>
      </c>
      <c r="AB15" s="6">
        <v>4.1901099999999997E-2</v>
      </c>
      <c r="AC15" s="6">
        <v>8.9217299999999999E-2</v>
      </c>
      <c r="AD15" s="6">
        <v>6.7890199999999998E-2</v>
      </c>
      <c r="AE15" s="6">
        <v>3.0522199999999999E-2</v>
      </c>
      <c r="AF15" s="6">
        <v>0</v>
      </c>
      <c r="AG15" s="6">
        <v>2.0821900000000001E-2</v>
      </c>
      <c r="AH15" s="6">
        <v>3.5652299999999998E-2</v>
      </c>
      <c r="AI15" s="6">
        <v>4.7514500000000001E-2</v>
      </c>
      <c r="AJ15" s="6">
        <v>3.6727299999999997E-2</v>
      </c>
      <c r="AK15" s="6">
        <v>8.3594399999999999E-2</v>
      </c>
      <c r="AL15" s="6">
        <v>3.8916899999999997E-2</v>
      </c>
      <c r="AM15" s="6">
        <v>0.124362</v>
      </c>
      <c r="AN15" s="6">
        <v>2.4724800000000002E-2</v>
      </c>
      <c r="AO15" s="6">
        <v>3.1128599999999999E-2</v>
      </c>
      <c r="AP15" s="6">
        <v>2.62813E-2</v>
      </c>
      <c r="AQ15" s="6">
        <v>4.7754900000000003E-2</v>
      </c>
      <c r="AR15" s="6">
        <v>6.7890199999999998E-2</v>
      </c>
      <c r="AS15" s="6">
        <v>3.0522199999999999E-2</v>
      </c>
      <c r="AT15" s="6">
        <v>1.6876499999999999E-2</v>
      </c>
      <c r="AU15" s="6">
        <v>3.8865999999999998E-4</v>
      </c>
      <c r="AV15" s="6">
        <v>3.5652299999999998E-2</v>
      </c>
      <c r="AW15" s="6">
        <v>4.7514500000000001E-2</v>
      </c>
      <c r="AX15" s="6">
        <v>3.6727299999999997E-2</v>
      </c>
      <c r="AY15" s="6">
        <v>8.3594399999999999E-2</v>
      </c>
      <c r="AZ15" s="6">
        <v>3.8916899999999997E-2</v>
      </c>
      <c r="BA15" s="6">
        <v>0.124362</v>
      </c>
      <c r="BB15" s="6">
        <v>2.4724800000000002E-2</v>
      </c>
      <c r="BC15" s="6">
        <v>3.1128599999999999E-2</v>
      </c>
      <c r="BD15" s="6">
        <v>2.62813E-2</v>
      </c>
      <c r="BE15" s="6">
        <v>4.7754900000000003E-2</v>
      </c>
    </row>
    <row r="16" spans="1:57" x14ac:dyDescent="0.25">
      <c r="A16" s="5" t="s">
        <v>30</v>
      </c>
      <c r="B16" s="6">
        <v>0.132995</v>
      </c>
      <c r="C16" s="6">
        <v>0.114699</v>
      </c>
      <c r="D16" s="6">
        <v>1.0798099999999999</v>
      </c>
      <c r="E16" s="6">
        <v>3.6870699999999998</v>
      </c>
      <c r="F16" s="6">
        <v>9.2881900000000003E-2</v>
      </c>
      <c r="G16" s="6">
        <v>6.3181200000000007E-2</v>
      </c>
      <c r="H16" s="6">
        <v>0.10423399999999999</v>
      </c>
      <c r="I16" s="6">
        <v>0.27358900000000003</v>
      </c>
      <c r="J16" s="6">
        <v>-3.0336799999999999</v>
      </c>
      <c r="K16" s="6">
        <v>0.29669499999999999</v>
      </c>
      <c r="L16" s="6">
        <v>0.106824</v>
      </c>
      <c r="M16" s="6">
        <v>0.10728799999999999</v>
      </c>
      <c r="N16" s="6">
        <v>0.104085</v>
      </c>
      <c r="O16" s="6">
        <v>0.102592</v>
      </c>
      <c r="P16" s="6">
        <v>1.54742E-2</v>
      </c>
      <c r="Q16" s="6">
        <v>-5.4648799999999997E-2</v>
      </c>
      <c r="R16" s="6">
        <v>8.4950400000000006E-3</v>
      </c>
      <c r="S16" s="6">
        <v>15.6158</v>
      </c>
      <c r="T16" s="6">
        <v>0.13677900000000001</v>
      </c>
      <c r="U16" s="6">
        <v>0.52908200000000005</v>
      </c>
      <c r="V16" s="6">
        <v>-0.13191700000000001</v>
      </c>
      <c r="W16" s="6">
        <v>0.91895300000000002</v>
      </c>
      <c r="X16" s="6">
        <v>9.2464700000000004</v>
      </c>
      <c r="Y16" s="6">
        <v>2.1006</v>
      </c>
      <c r="Z16" s="6">
        <v>-0.225192</v>
      </c>
      <c r="AA16" s="6">
        <v>-0.215305</v>
      </c>
      <c r="AB16" s="6">
        <v>-9.3800499999999995E-2</v>
      </c>
      <c r="AC16" s="6">
        <v>-0.27171299999999998</v>
      </c>
      <c r="AD16" s="6">
        <v>3.26187E-2</v>
      </c>
      <c r="AE16" s="6">
        <v>2.26307E-2</v>
      </c>
      <c r="AF16" s="6">
        <v>0.26679399999999998</v>
      </c>
      <c r="AG16" s="6">
        <v>4.7793999999999999</v>
      </c>
      <c r="AH16" s="6">
        <v>9.8538799999999996E-2</v>
      </c>
      <c r="AI16" s="6">
        <v>0.22492300000000001</v>
      </c>
      <c r="AJ16" s="6">
        <v>3.16817E-2</v>
      </c>
      <c r="AK16" s="6">
        <v>1.1683399999999999</v>
      </c>
      <c r="AL16" s="6">
        <v>4.2632099999999999</v>
      </c>
      <c r="AM16" s="6">
        <v>1.5286900000000001</v>
      </c>
      <c r="AN16" s="6">
        <v>-5.1929999999999997E-2</v>
      </c>
      <c r="AO16" s="6">
        <v>-4.2490899999999998E-2</v>
      </c>
      <c r="AP16" s="6">
        <v>9.7612399999999998E-4</v>
      </c>
      <c r="AQ16" s="6">
        <v>-1.7589199999999999E-2</v>
      </c>
      <c r="AR16" s="6">
        <v>3.26187E-2</v>
      </c>
      <c r="AS16" s="6">
        <v>2.26307E-2</v>
      </c>
      <c r="AT16" s="6">
        <v>0.55018100000000003</v>
      </c>
      <c r="AU16" s="6">
        <v>7.4690899999999996</v>
      </c>
      <c r="AV16" s="6">
        <v>9.8538799999999996E-2</v>
      </c>
      <c r="AW16" s="6">
        <v>0.22492300000000001</v>
      </c>
      <c r="AX16" s="6">
        <v>3.16817E-2</v>
      </c>
      <c r="AY16" s="6">
        <v>1.1683399999999999</v>
      </c>
      <c r="AZ16" s="6">
        <v>4.2632099999999999</v>
      </c>
      <c r="BA16" s="6">
        <v>1.5286900000000001</v>
      </c>
      <c r="BB16" s="6">
        <v>-5.1929999999999997E-2</v>
      </c>
      <c r="BC16" s="6">
        <v>-4.2490899999999998E-2</v>
      </c>
      <c r="BD16" s="6">
        <v>9.7612399999999998E-4</v>
      </c>
      <c r="BE16" s="6">
        <v>-1.7589199999999999E-2</v>
      </c>
    </row>
    <row r="17" spans="1:57" x14ac:dyDescent="0.25">
      <c r="A17" s="5" t="s">
        <v>32</v>
      </c>
      <c r="B17" s="6">
        <v>0.212475</v>
      </c>
      <c r="C17" s="6">
        <v>0.18305199999999999</v>
      </c>
      <c r="D17" s="6">
        <v>1.28728</v>
      </c>
      <c r="E17" s="6">
        <v>18.187999999999999</v>
      </c>
      <c r="F17" s="6">
        <v>0.15218400000000001</v>
      </c>
      <c r="G17" s="6">
        <v>0.136909</v>
      </c>
      <c r="H17" s="6">
        <v>0.16114000000000001</v>
      </c>
      <c r="I17" s="6">
        <v>0.76794899999999999</v>
      </c>
      <c r="J17" s="6">
        <v>-4.5831700000000003E-2</v>
      </c>
      <c r="K17" s="6">
        <v>0.150946</v>
      </c>
      <c r="L17" s="6">
        <v>0.19112799999999999</v>
      </c>
      <c r="M17" s="6">
        <v>0.19332199999999999</v>
      </c>
      <c r="N17" s="6">
        <v>0.18293999999999999</v>
      </c>
      <c r="O17" s="6">
        <v>0.182892</v>
      </c>
      <c r="P17" s="6">
        <v>0.11029</v>
      </c>
      <c r="Q17" s="6">
        <v>6.9470699999999996E-3</v>
      </c>
      <c r="R17" s="6">
        <v>0.34976299999999999</v>
      </c>
      <c r="S17" s="6">
        <v>29.346299999999999</v>
      </c>
      <c r="T17" s="6">
        <v>0.196045</v>
      </c>
      <c r="U17" s="6">
        <v>0.181061</v>
      </c>
      <c r="V17" s="6">
        <v>0.22903000000000001</v>
      </c>
      <c r="W17" s="6">
        <v>1.22502</v>
      </c>
      <c r="X17" s="6">
        <v>3.8369</v>
      </c>
      <c r="Y17" s="6">
        <v>1.9887999999999999</v>
      </c>
      <c r="Z17" s="6">
        <v>1.63097E-2</v>
      </c>
      <c r="AA17" s="6">
        <v>0.25085400000000002</v>
      </c>
      <c r="AB17" s="6">
        <v>3.5517399999999998E-2</v>
      </c>
      <c r="AC17" s="6">
        <v>-7.7071100000000003E-2</v>
      </c>
      <c r="AD17" s="6">
        <v>0.125387</v>
      </c>
      <c r="AE17" s="6">
        <v>5.7494799999999999E-2</v>
      </c>
      <c r="AF17" s="6">
        <v>0.106947</v>
      </c>
      <c r="AG17" s="6">
        <v>9.3045600000000004</v>
      </c>
      <c r="AH17" s="6">
        <v>0.13758300000000001</v>
      </c>
      <c r="AI17" s="6">
        <v>0.12540100000000001</v>
      </c>
      <c r="AJ17" s="6">
        <v>0.15614500000000001</v>
      </c>
      <c r="AK17" s="6">
        <v>1.11852</v>
      </c>
      <c r="AL17" s="6">
        <v>2.4026700000000001</v>
      </c>
      <c r="AM17" s="6">
        <v>1.4693700000000001</v>
      </c>
      <c r="AN17" s="6">
        <v>6.5599400000000002E-2</v>
      </c>
      <c r="AO17" s="6">
        <v>0.24793200000000001</v>
      </c>
      <c r="AP17" s="6">
        <v>7.14505E-2</v>
      </c>
      <c r="AQ17" s="6">
        <v>1.33095E-2</v>
      </c>
      <c r="AR17" s="6">
        <v>0.125387</v>
      </c>
      <c r="AS17" s="6">
        <v>5.7494799999999999E-2</v>
      </c>
      <c r="AT17" s="6">
        <v>0.337557</v>
      </c>
      <c r="AU17" s="6">
        <v>19.4528</v>
      </c>
      <c r="AV17" s="6">
        <v>0.13758300000000001</v>
      </c>
      <c r="AW17" s="6">
        <v>0.12540100000000001</v>
      </c>
      <c r="AX17" s="6">
        <v>0.15614500000000001</v>
      </c>
      <c r="AY17" s="6">
        <v>1.11852</v>
      </c>
      <c r="AZ17" s="6">
        <v>2.4026700000000001</v>
      </c>
      <c r="BA17" s="6">
        <v>1.4693700000000001</v>
      </c>
      <c r="BB17" s="6">
        <v>6.5599400000000002E-2</v>
      </c>
      <c r="BC17" s="6">
        <v>0.24793200000000001</v>
      </c>
      <c r="BD17" s="6">
        <v>7.14505E-2</v>
      </c>
      <c r="BE17" s="6">
        <v>1.33095E-2</v>
      </c>
    </row>
    <row r="18" spans="1:57" x14ac:dyDescent="0.25">
      <c r="A18" s="5" t="s">
        <v>34</v>
      </c>
      <c r="B18" s="6">
        <v>5.1820499999999999E-2</v>
      </c>
      <c r="C18" s="6">
        <v>5.7823300000000001E-2</v>
      </c>
      <c r="D18" s="6">
        <v>0.74944599999999995</v>
      </c>
      <c r="E18" s="6">
        <v>1.19042</v>
      </c>
      <c r="F18" s="6">
        <v>5.0862200000000003E-2</v>
      </c>
      <c r="G18" s="6">
        <v>4.7833899999999999E-2</v>
      </c>
      <c r="H18" s="6">
        <v>7.7180299999999993E-2</v>
      </c>
      <c r="I18" s="6">
        <v>0.36438500000000001</v>
      </c>
      <c r="J18" s="6">
        <v>-1.3744499999999999</v>
      </c>
      <c r="K18" s="6">
        <v>-0.393868</v>
      </c>
      <c r="L18" s="6">
        <v>4.47964E-2</v>
      </c>
      <c r="M18" s="6">
        <v>1.03497E-2</v>
      </c>
      <c r="N18" s="6">
        <v>4.6615400000000001E-2</v>
      </c>
      <c r="O18" s="6">
        <v>8.1578999999999999E-2</v>
      </c>
      <c r="P18" s="6">
        <v>0.110017</v>
      </c>
      <c r="Q18" s="6">
        <v>5.3104800000000001E-2</v>
      </c>
      <c r="R18" s="6">
        <v>0.30488799999999999</v>
      </c>
      <c r="S18" s="6">
        <v>8.8688699999999994</v>
      </c>
      <c r="T18" s="6">
        <v>0.10807799999999999</v>
      </c>
      <c r="U18" s="6">
        <v>0.166989</v>
      </c>
      <c r="V18" s="6">
        <v>2.7137600000000001E-2</v>
      </c>
      <c r="W18" s="6">
        <v>0.83409</v>
      </c>
      <c r="X18" s="6">
        <v>2.42035</v>
      </c>
      <c r="Y18" s="6">
        <v>0.91088499999999994</v>
      </c>
      <c r="Z18" s="6">
        <v>5.1858500000000002E-2</v>
      </c>
      <c r="AA18" s="6">
        <v>0.128471</v>
      </c>
      <c r="AB18" s="6">
        <v>5.64348E-2</v>
      </c>
      <c r="AC18" s="6">
        <v>5.59751E-3</v>
      </c>
      <c r="AD18" s="6">
        <v>7.3349499999999998E-2</v>
      </c>
      <c r="AE18" s="6">
        <v>4.9502299999999999E-2</v>
      </c>
      <c r="AF18" s="6">
        <v>1.5209200000000001E-2</v>
      </c>
      <c r="AG18" s="6">
        <v>0.772424</v>
      </c>
      <c r="AH18" s="6">
        <v>7.0640900000000006E-2</v>
      </c>
      <c r="AI18" s="6">
        <v>8.56513E-2</v>
      </c>
      <c r="AJ18" s="6">
        <v>4.2079100000000001E-2</v>
      </c>
      <c r="AK18" s="6">
        <v>0.94155800000000001</v>
      </c>
      <c r="AL18" s="6">
        <v>0.813994</v>
      </c>
      <c r="AM18" s="6">
        <v>0.50457099999999999</v>
      </c>
      <c r="AN18" s="6">
        <v>4.6716500000000001E-2</v>
      </c>
      <c r="AO18" s="6">
        <v>8.7111800000000003E-2</v>
      </c>
      <c r="AP18" s="6">
        <v>4.8977899999999998E-2</v>
      </c>
      <c r="AQ18" s="6">
        <v>3.29126E-2</v>
      </c>
      <c r="AR18" s="6">
        <v>7.3349499999999998E-2</v>
      </c>
      <c r="AS18" s="6">
        <v>4.9502299999999999E-2</v>
      </c>
      <c r="AT18" s="6">
        <v>0.243982</v>
      </c>
      <c r="AU18" s="6">
        <v>8.1364300000000007</v>
      </c>
      <c r="AV18" s="6">
        <v>7.0640900000000006E-2</v>
      </c>
      <c r="AW18" s="6">
        <v>8.56513E-2</v>
      </c>
      <c r="AX18" s="6">
        <v>4.2079100000000001E-2</v>
      </c>
      <c r="AY18" s="6">
        <v>0.94155800000000001</v>
      </c>
      <c r="AZ18" s="6">
        <v>0.813994</v>
      </c>
      <c r="BA18" s="6">
        <v>0.50457099999999999</v>
      </c>
      <c r="BB18" s="6">
        <v>4.6716500000000001E-2</v>
      </c>
      <c r="BC18" s="6">
        <v>8.7111800000000003E-2</v>
      </c>
      <c r="BD18" s="6">
        <v>4.8977899999999998E-2</v>
      </c>
      <c r="BE18" s="6">
        <v>3.29126E-2</v>
      </c>
    </row>
    <row r="19" spans="1:57" x14ac:dyDescent="0.25">
      <c r="A19" s="5" t="s">
        <v>36</v>
      </c>
      <c r="B19" s="6">
        <v>0.13622500000000001</v>
      </c>
      <c r="C19" s="6">
        <v>0.12175900000000001</v>
      </c>
      <c r="D19" s="6">
        <v>1.8096399999999999</v>
      </c>
      <c r="E19" s="6">
        <v>10.480600000000001</v>
      </c>
      <c r="F19" s="6">
        <v>0.11698500000000001</v>
      </c>
      <c r="G19" s="6">
        <v>0.12220200000000001</v>
      </c>
      <c r="H19" s="6">
        <v>0.11519500000000001</v>
      </c>
      <c r="I19" s="6">
        <v>1.1769700000000001</v>
      </c>
      <c r="J19" s="6">
        <v>-0.99905299999999997</v>
      </c>
      <c r="K19" s="6">
        <v>0.37378099999999997</v>
      </c>
      <c r="L19" s="6">
        <v>0.119922</v>
      </c>
      <c r="M19" s="6">
        <v>0.231183</v>
      </c>
      <c r="N19" s="6">
        <v>0.119779</v>
      </c>
      <c r="O19" s="6">
        <v>0.114397</v>
      </c>
      <c r="P19" s="6">
        <v>0.145451</v>
      </c>
      <c r="Q19" s="6">
        <v>6.9245899999999999E-2</v>
      </c>
      <c r="R19" s="6">
        <v>0.227714</v>
      </c>
      <c r="S19" s="6">
        <v>14.564399999999999</v>
      </c>
      <c r="T19" s="6">
        <v>9.10778E-2</v>
      </c>
      <c r="U19" s="6">
        <v>0.16690199999999999</v>
      </c>
      <c r="V19" s="6">
        <v>5.8509400000000003E-2</v>
      </c>
      <c r="W19" s="6">
        <v>0.49910199999999999</v>
      </c>
      <c r="X19" s="6">
        <v>2.6688499999999999</v>
      </c>
      <c r="Y19" s="6">
        <v>1.6017600000000001</v>
      </c>
      <c r="Z19" s="6">
        <v>9.6346799999999996E-3</v>
      </c>
      <c r="AA19" s="6">
        <v>0.345779</v>
      </c>
      <c r="AB19" s="6">
        <v>2.0503E-2</v>
      </c>
      <c r="AC19" s="6">
        <v>1.8375599999999999E-2</v>
      </c>
      <c r="AD19" s="6">
        <v>0.129221</v>
      </c>
      <c r="AE19" s="6">
        <v>9.1442999999999997E-2</v>
      </c>
      <c r="AF19" s="6">
        <v>0.70062800000000003</v>
      </c>
      <c r="AG19" s="6">
        <v>9.1479599999999994</v>
      </c>
      <c r="AH19" s="6">
        <v>9.4739699999999996E-2</v>
      </c>
      <c r="AI19" s="6">
        <v>0.125083</v>
      </c>
      <c r="AJ19" s="6">
        <v>8.6664699999999997E-2</v>
      </c>
      <c r="AK19" s="6">
        <v>0.419045</v>
      </c>
      <c r="AL19" s="6">
        <v>1.36355</v>
      </c>
      <c r="AM19" s="6">
        <v>1.12218</v>
      </c>
      <c r="AN19" s="6">
        <v>5.7587800000000001E-2</v>
      </c>
      <c r="AO19" s="6">
        <v>0.35952600000000001</v>
      </c>
      <c r="AP19" s="6">
        <v>6.3011700000000004E-2</v>
      </c>
      <c r="AQ19" s="6">
        <v>6.9107399999999999E-2</v>
      </c>
      <c r="AR19" s="6">
        <v>0.129221</v>
      </c>
      <c r="AS19" s="6">
        <v>9.1442999999999997E-2</v>
      </c>
      <c r="AT19" s="6">
        <v>1.2274700000000001</v>
      </c>
      <c r="AU19" s="6">
        <v>11.0671</v>
      </c>
      <c r="AV19" s="6">
        <v>9.4739699999999996E-2</v>
      </c>
      <c r="AW19" s="6">
        <v>0.125083</v>
      </c>
      <c r="AX19" s="6">
        <v>8.6664699999999997E-2</v>
      </c>
      <c r="AY19" s="6">
        <v>0.419045</v>
      </c>
      <c r="AZ19" s="6">
        <v>1.36355</v>
      </c>
      <c r="BA19" s="6">
        <v>1.12218</v>
      </c>
      <c r="BB19" s="6">
        <v>5.7587800000000001E-2</v>
      </c>
      <c r="BC19" s="6">
        <v>0.35952600000000001</v>
      </c>
      <c r="BD19" s="6">
        <v>6.3011700000000004E-2</v>
      </c>
      <c r="BE19" s="6">
        <v>6.9107399999999999E-2</v>
      </c>
    </row>
    <row r="20" spans="1:57" x14ac:dyDescent="0.25">
      <c r="A20" s="5" t="s">
        <v>38</v>
      </c>
      <c r="B20" s="6">
        <v>9.4202599999999997E-2</v>
      </c>
      <c r="C20" s="6">
        <v>8.5298299999999994E-2</v>
      </c>
      <c r="D20" s="6">
        <v>5.5760399999999999</v>
      </c>
      <c r="E20" s="6">
        <v>-13.824400000000001</v>
      </c>
      <c r="F20" s="6">
        <v>6.7523E-2</v>
      </c>
      <c r="G20" s="6">
        <v>6.0727499999999997E-2</v>
      </c>
      <c r="H20" s="6">
        <v>9.7210699999999997E-2</v>
      </c>
      <c r="I20" s="6">
        <v>-0.37526300000000001</v>
      </c>
      <c r="J20" s="6">
        <v>-0.66192300000000004</v>
      </c>
      <c r="K20" s="6">
        <v>-0.21879999999999999</v>
      </c>
      <c r="L20" s="6">
        <v>5.5892999999999998E-2</v>
      </c>
      <c r="M20" s="6">
        <v>-7.3297000000000001E-2</v>
      </c>
      <c r="N20" s="6">
        <v>6.0766000000000001E-2</v>
      </c>
      <c r="O20" s="6">
        <v>9.1766200000000006E-2</v>
      </c>
      <c r="P20" s="6">
        <v>6.2054500000000004E-3</v>
      </c>
      <c r="Q20" s="6">
        <v>-6.5440799999999993E-2</v>
      </c>
      <c r="R20" s="6">
        <v>6.9158399999999995E-2</v>
      </c>
      <c r="S20" s="6">
        <v>6.8831800000000003</v>
      </c>
      <c r="T20" s="6">
        <v>5.6238299999999998E-2</v>
      </c>
      <c r="U20" s="6">
        <v>7.5226199999999993E-2</v>
      </c>
      <c r="V20" s="6">
        <v>0.23314299999999999</v>
      </c>
      <c r="W20" s="6">
        <v>1.16435</v>
      </c>
      <c r="X20" s="6">
        <v>4.6254</v>
      </c>
      <c r="Y20" s="6">
        <v>0.95439499999999999</v>
      </c>
      <c r="Z20" s="6">
        <v>-0.28981499999999999</v>
      </c>
      <c r="AA20" s="6">
        <v>0.16389300000000001</v>
      </c>
      <c r="AB20" s="6">
        <v>-0.209093</v>
      </c>
      <c r="AC20" s="6">
        <v>-0.19358400000000001</v>
      </c>
      <c r="AD20" s="6">
        <v>3.9000800000000002E-2</v>
      </c>
      <c r="AE20" s="6">
        <v>-9.0605200000000007E-3</v>
      </c>
      <c r="AF20" s="6">
        <v>0.50521700000000003</v>
      </c>
      <c r="AG20" s="6">
        <v>-3.8121499999999999</v>
      </c>
      <c r="AH20" s="6">
        <v>3.1560900000000003E-2</v>
      </c>
      <c r="AI20" s="6">
        <v>4.1293000000000003E-2</v>
      </c>
      <c r="AJ20" s="6">
        <v>0.15279400000000001</v>
      </c>
      <c r="AK20" s="6">
        <v>0.77248799999999995</v>
      </c>
      <c r="AL20" s="6">
        <v>3.0317699999999999</v>
      </c>
      <c r="AM20" s="6">
        <v>0.53109499999999998</v>
      </c>
      <c r="AN20" s="6">
        <v>-0.166769</v>
      </c>
      <c r="AO20" s="6">
        <v>0.123682</v>
      </c>
      <c r="AP20" s="6">
        <v>-0.11743199999999999</v>
      </c>
      <c r="AQ20" s="6">
        <v>-5.5684299999999999E-2</v>
      </c>
      <c r="AR20" s="6">
        <v>3.9000800000000002E-2</v>
      </c>
      <c r="AS20" s="6">
        <v>-9.0605200000000007E-3</v>
      </c>
      <c r="AT20" s="6">
        <v>2.8315399999999999</v>
      </c>
      <c r="AU20" s="6">
        <v>-3.7119900000000001</v>
      </c>
      <c r="AV20" s="6">
        <v>3.1560900000000003E-2</v>
      </c>
      <c r="AW20" s="6">
        <v>4.1293000000000003E-2</v>
      </c>
      <c r="AX20" s="6">
        <v>0.15279400000000001</v>
      </c>
      <c r="AY20" s="6">
        <v>0.77248799999999995</v>
      </c>
      <c r="AZ20" s="6">
        <v>3.0317699999999999</v>
      </c>
      <c r="BA20" s="6">
        <v>0.53109499999999998</v>
      </c>
      <c r="BB20" s="6">
        <v>-0.166769</v>
      </c>
      <c r="BC20" s="6">
        <v>0.123682</v>
      </c>
      <c r="BD20" s="6">
        <v>-0.11743199999999999</v>
      </c>
      <c r="BE20" s="6">
        <v>-5.5684299999999999E-2</v>
      </c>
    </row>
    <row r="21" spans="1:57" x14ac:dyDescent="0.25">
      <c r="A21" s="5" t="s">
        <v>40</v>
      </c>
      <c r="B21" s="6">
        <v>0.123096</v>
      </c>
      <c r="C21" s="6">
        <v>8.8095099999999996E-2</v>
      </c>
      <c r="D21" s="6">
        <v>0.87802100000000005</v>
      </c>
      <c r="E21" s="6">
        <v>9.7881199999999993</v>
      </c>
      <c r="F21" s="6">
        <v>6.3211900000000001E-2</v>
      </c>
      <c r="G21" s="6">
        <v>6.8268599999999999E-2</v>
      </c>
      <c r="H21" s="6">
        <v>8.4923200000000004E-2</v>
      </c>
      <c r="I21" s="6">
        <v>-5.7675699999999996E-3</v>
      </c>
      <c r="J21" s="6">
        <v>-1.84798</v>
      </c>
      <c r="K21" s="6">
        <v>-2.8087399999999998E-2</v>
      </c>
      <c r="L21" s="6">
        <v>2.80748E-2</v>
      </c>
      <c r="M21" s="6">
        <v>6.4789700000000006E-2</v>
      </c>
      <c r="N21" s="6">
        <v>3.38877E-2</v>
      </c>
      <c r="O21" s="6">
        <v>7.0410100000000003E-2</v>
      </c>
      <c r="P21" s="6">
        <v>0.13569000000000001</v>
      </c>
      <c r="Q21" s="6">
        <v>0.111639</v>
      </c>
      <c r="R21" s="6">
        <v>0.38458500000000001</v>
      </c>
      <c r="S21" s="6">
        <v>21.3186</v>
      </c>
      <c r="T21" s="6">
        <v>0.122354</v>
      </c>
      <c r="U21" s="6">
        <v>0.14108999999999999</v>
      </c>
      <c r="V21" s="6">
        <v>0.12790599999999999</v>
      </c>
      <c r="W21" s="6">
        <v>0.75300400000000001</v>
      </c>
      <c r="X21" s="6">
        <v>1.8708899999999999</v>
      </c>
      <c r="Y21" s="6">
        <v>1.3302799999999999</v>
      </c>
      <c r="Z21" s="6">
        <v>3.4418200000000003E-2</v>
      </c>
      <c r="AA21" s="6">
        <v>0.90745600000000004</v>
      </c>
      <c r="AB21" s="6">
        <v>4.06754E-2</v>
      </c>
      <c r="AC21" s="6">
        <v>1.5488099999999999E-2</v>
      </c>
      <c r="AD21" s="6">
        <v>0.120077</v>
      </c>
      <c r="AE21" s="6">
        <v>9.3755500000000006E-2</v>
      </c>
      <c r="AF21" s="6">
        <v>2.9425300000000001E-3</v>
      </c>
      <c r="AG21" s="6">
        <v>-3.41927</v>
      </c>
      <c r="AH21" s="6">
        <v>8.6751400000000006E-2</v>
      </c>
      <c r="AI21" s="6">
        <v>9.7044099999999994E-2</v>
      </c>
      <c r="AJ21" s="6">
        <v>9.9824999999999997E-2</v>
      </c>
      <c r="AK21" s="6">
        <v>1.10321</v>
      </c>
      <c r="AL21" s="6">
        <v>0.316521</v>
      </c>
      <c r="AM21" s="6">
        <v>0.55577699999999997</v>
      </c>
      <c r="AN21" s="6">
        <v>3.2918200000000002E-2</v>
      </c>
      <c r="AO21" s="6">
        <v>0.63785899999999995</v>
      </c>
      <c r="AP21" s="6">
        <v>3.8265E-2</v>
      </c>
      <c r="AQ21" s="6">
        <v>4.2599100000000001E-2</v>
      </c>
      <c r="AR21" s="6">
        <v>0.120077</v>
      </c>
      <c r="AS21" s="6">
        <v>9.3755500000000006E-2</v>
      </c>
      <c r="AT21" s="6">
        <v>0.14188100000000001</v>
      </c>
      <c r="AU21" s="6">
        <v>12.4428</v>
      </c>
      <c r="AV21" s="6">
        <v>8.6751400000000006E-2</v>
      </c>
      <c r="AW21" s="6">
        <v>9.7044099999999994E-2</v>
      </c>
      <c r="AX21" s="6">
        <v>9.9824999999999997E-2</v>
      </c>
      <c r="AY21" s="6">
        <v>1.10321</v>
      </c>
      <c r="AZ21" s="6">
        <v>0.316521</v>
      </c>
      <c r="BA21" s="6">
        <v>0.55577699999999997</v>
      </c>
      <c r="BB21" s="6">
        <v>3.2918200000000002E-2</v>
      </c>
      <c r="BC21" s="6">
        <v>0.63785899999999995</v>
      </c>
      <c r="BD21" s="6">
        <v>3.8265E-2</v>
      </c>
      <c r="BE21" s="6">
        <v>4.2599100000000001E-2</v>
      </c>
    </row>
    <row r="22" spans="1:57" x14ac:dyDescent="0.25">
      <c r="A22" s="5" t="s">
        <v>42</v>
      </c>
      <c r="B22" s="6">
        <v>9.78131E-2</v>
      </c>
      <c r="C22" s="6">
        <v>8.5509299999999996E-2</v>
      </c>
      <c r="D22" s="6">
        <v>0.41403899999999999</v>
      </c>
      <c r="E22" s="6">
        <v>0.96441399999999999</v>
      </c>
      <c r="F22" s="6">
        <v>5.31779E-2</v>
      </c>
      <c r="G22" s="6">
        <v>6.0552300000000003E-2</v>
      </c>
      <c r="H22" s="6">
        <v>3.8451600000000002E-2</v>
      </c>
      <c r="I22" s="6">
        <v>-0.71514900000000003</v>
      </c>
      <c r="J22" s="6">
        <v>-1.17641</v>
      </c>
      <c r="K22" s="6">
        <v>-0.26141199999999998</v>
      </c>
      <c r="L22" s="6">
        <v>1.32917E-2</v>
      </c>
      <c r="M22" s="6">
        <v>1.22893E-2</v>
      </c>
      <c r="N22" s="6">
        <v>3.2615900000000003E-2</v>
      </c>
      <c r="O22" s="6">
        <v>-3.8280499999999999E-3</v>
      </c>
      <c r="P22" s="6">
        <v>4.6605000000000001E-2</v>
      </c>
      <c r="Q22" s="6">
        <v>4.8739900000000003E-2</v>
      </c>
      <c r="R22" s="6">
        <v>-4.9665800000000003E-2</v>
      </c>
      <c r="S22" s="6">
        <v>7.4455799999999996</v>
      </c>
      <c r="T22" s="6">
        <v>0.13409499999999999</v>
      </c>
      <c r="U22" s="6">
        <v>0.14116699999999999</v>
      </c>
      <c r="V22" s="6">
        <v>0.110558</v>
      </c>
      <c r="W22" s="6">
        <v>0.59458599999999995</v>
      </c>
      <c r="X22" s="6">
        <v>5.2048500000000004</v>
      </c>
      <c r="Y22" s="6">
        <v>1.1914800000000001</v>
      </c>
      <c r="Z22" s="6">
        <v>-0.16687099999999999</v>
      </c>
      <c r="AA22" s="6">
        <v>-0.13390199999999999</v>
      </c>
      <c r="AB22" s="6">
        <v>-3.0637600000000001E-2</v>
      </c>
      <c r="AC22" s="6">
        <v>-0.100768</v>
      </c>
      <c r="AD22" s="6">
        <v>5.3722399999999997E-2</v>
      </c>
      <c r="AE22" s="6">
        <v>5.9703300000000001E-2</v>
      </c>
      <c r="AF22" s="6">
        <v>0</v>
      </c>
      <c r="AG22" s="6">
        <v>2.7573699999999999</v>
      </c>
      <c r="AH22" s="6">
        <v>9.8773399999999997E-2</v>
      </c>
      <c r="AI22" s="6">
        <v>9.8647700000000005E-2</v>
      </c>
      <c r="AJ22" s="6">
        <v>0.123802</v>
      </c>
      <c r="AK22" s="6">
        <v>-0.15340300000000001</v>
      </c>
      <c r="AL22" s="6">
        <v>2.33182</v>
      </c>
      <c r="AM22" s="6">
        <v>0.78898100000000004</v>
      </c>
      <c r="AN22" s="6">
        <v>-6.7225099999999996E-2</v>
      </c>
      <c r="AO22" s="6">
        <v>-3.6894200000000002E-2</v>
      </c>
      <c r="AP22" s="6">
        <v>1.53931E-2</v>
      </c>
      <c r="AQ22" s="6">
        <v>5.0908700000000001E-2</v>
      </c>
      <c r="AR22" s="6">
        <v>5.3722399999999997E-2</v>
      </c>
      <c r="AS22" s="6">
        <v>5.9703300000000001E-2</v>
      </c>
      <c r="AT22" s="6">
        <v>0.13425899999999999</v>
      </c>
      <c r="AU22" s="6">
        <v>2.7573699999999999</v>
      </c>
      <c r="AV22" s="6">
        <v>9.8773399999999997E-2</v>
      </c>
      <c r="AW22" s="6">
        <v>9.8647700000000005E-2</v>
      </c>
      <c r="AX22" s="6">
        <v>0.123802</v>
      </c>
      <c r="AY22" s="6">
        <v>-0.15340300000000001</v>
      </c>
      <c r="AZ22" s="6">
        <v>2.33182</v>
      </c>
      <c r="BA22" s="6">
        <v>0.78898100000000004</v>
      </c>
      <c r="BB22" s="6">
        <v>-6.7225099999999996E-2</v>
      </c>
      <c r="BC22" s="6">
        <v>-3.6894200000000002E-2</v>
      </c>
      <c r="BD22" s="6">
        <v>1.53931E-2</v>
      </c>
      <c r="BE22" s="6">
        <v>5.0908700000000001E-2</v>
      </c>
    </row>
    <row r="23" spans="1:57" x14ac:dyDescent="0.25">
      <c r="A23" s="5" t="s">
        <v>44</v>
      </c>
      <c r="B23" s="6">
        <v>8.2610199999999995E-2</v>
      </c>
      <c r="C23" s="6">
        <v>7.8064700000000001E-2</v>
      </c>
      <c r="D23" s="6">
        <v>3.0128599999999999</v>
      </c>
      <c r="E23" s="6">
        <v>-3.2644700000000002</v>
      </c>
      <c r="F23" s="6">
        <v>6.9649299999999997E-2</v>
      </c>
      <c r="G23" s="6">
        <v>7.2373400000000004E-2</v>
      </c>
      <c r="H23" s="6">
        <v>6.3354400000000005E-2</v>
      </c>
      <c r="I23" s="6">
        <v>0.40096399999999999</v>
      </c>
      <c r="J23" s="6">
        <v>0.105158</v>
      </c>
      <c r="K23" s="6">
        <v>0.12690199999999999</v>
      </c>
      <c r="L23" s="6">
        <v>7.9671500000000006E-2</v>
      </c>
      <c r="M23" s="6">
        <v>0.21379799999999999</v>
      </c>
      <c r="N23" s="6">
        <v>7.4357300000000001E-2</v>
      </c>
      <c r="O23" s="6">
        <v>5.5712900000000003E-2</v>
      </c>
      <c r="P23" s="6">
        <v>6.4129199999999997E-2</v>
      </c>
      <c r="Q23" s="6">
        <v>5.5659699999999999E-2</v>
      </c>
      <c r="R23" s="6">
        <v>1.5863599999999999E-2</v>
      </c>
      <c r="S23" s="6">
        <v>2.8181500000000002</v>
      </c>
      <c r="T23" s="6">
        <v>0.10719099999999999</v>
      </c>
      <c r="U23" s="6">
        <v>0.131351</v>
      </c>
      <c r="V23" s="6">
        <v>5.8463300000000003E-2</v>
      </c>
      <c r="W23" s="6">
        <v>1.0676399999999999</v>
      </c>
      <c r="X23" s="6">
        <v>2.05355</v>
      </c>
      <c r="Y23" s="6">
        <v>1.09928</v>
      </c>
      <c r="Z23" s="6">
        <v>2.4696200000000001E-2</v>
      </c>
      <c r="AA23" s="6">
        <v>0.254193</v>
      </c>
      <c r="AB23" s="6">
        <v>4.9689200000000003E-2</v>
      </c>
      <c r="AC23" s="6">
        <v>-4.2812099999999999E-2</v>
      </c>
      <c r="AD23" s="6">
        <v>5.9740300000000003E-2</v>
      </c>
      <c r="AE23" s="6">
        <v>5.3916899999999997E-2</v>
      </c>
      <c r="AF23" s="6">
        <v>0.11034099999999999</v>
      </c>
      <c r="AG23" s="6">
        <v>0.40533400000000003</v>
      </c>
      <c r="AH23" s="6">
        <v>7.7296799999999999E-2</v>
      </c>
      <c r="AI23" s="6">
        <v>9.6167799999999998E-2</v>
      </c>
      <c r="AJ23" s="6">
        <v>4.41702E-2</v>
      </c>
      <c r="AK23" s="6">
        <v>0.95596499999999995</v>
      </c>
      <c r="AL23" s="6">
        <v>1.41751</v>
      </c>
      <c r="AM23" s="6">
        <v>0.49973299999999998</v>
      </c>
      <c r="AN23" s="6">
        <v>3.8832800000000001E-2</v>
      </c>
      <c r="AO23" s="6">
        <v>0.24445800000000001</v>
      </c>
      <c r="AP23" s="6">
        <v>4.8414899999999997E-2</v>
      </c>
      <c r="AQ23" s="6">
        <v>-1.37363E-2</v>
      </c>
      <c r="AR23" s="6">
        <v>5.9740300000000003E-2</v>
      </c>
      <c r="AS23" s="6">
        <v>5.3916899999999997E-2</v>
      </c>
      <c r="AT23" s="6">
        <v>1.22316</v>
      </c>
      <c r="AU23" s="6">
        <v>0.57425300000000001</v>
      </c>
      <c r="AV23" s="6">
        <v>7.7296799999999999E-2</v>
      </c>
      <c r="AW23" s="6">
        <v>9.6167799999999998E-2</v>
      </c>
      <c r="AX23" s="6">
        <v>4.41702E-2</v>
      </c>
      <c r="AY23" s="6">
        <v>0.95596499999999995</v>
      </c>
      <c r="AZ23" s="6">
        <v>1.41751</v>
      </c>
      <c r="BA23" s="6">
        <v>0.49973299999999998</v>
      </c>
      <c r="BB23" s="6">
        <v>3.8832800000000001E-2</v>
      </c>
      <c r="BC23" s="6">
        <v>0.24445800000000001</v>
      </c>
      <c r="BD23" s="6">
        <v>4.8414899999999997E-2</v>
      </c>
      <c r="BE23" s="6">
        <v>-1.37363E-2</v>
      </c>
    </row>
    <row r="24" spans="1:57" x14ac:dyDescent="0.25">
      <c r="A24" s="5" t="s">
        <v>46</v>
      </c>
      <c r="B24" s="6">
        <v>0.13400100000000001</v>
      </c>
      <c r="C24" s="6">
        <v>0.15646399999999999</v>
      </c>
      <c r="D24" s="6">
        <v>0.65621600000000002</v>
      </c>
      <c r="E24" s="6">
        <v>14.817399999999999</v>
      </c>
      <c r="F24" s="6">
        <v>0.15154100000000001</v>
      </c>
      <c r="G24" s="6">
        <v>0.13101199999999999</v>
      </c>
      <c r="H24" s="6">
        <v>0.170126</v>
      </c>
      <c r="I24" s="6">
        <v>-1.1770099999999999</v>
      </c>
      <c r="J24" s="6">
        <v>-1.3264100000000001</v>
      </c>
      <c r="K24" s="6">
        <v>0.30163899999999999</v>
      </c>
      <c r="L24" s="6">
        <v>0.183888</v>
      </c>
      <c r="M24" s="6">
        <v>0.24176800000000001</v>
      </c>
      <c r="N24" s="6">
        <v>0.181866</v>
      </c>
      <c r="O24" s="6">
        <v>0.18545700000000001</v>
      </c>
      <c r="P24" s="6">
        <v>0.121596</v>
      </c>
      <c r="Q24" s="6">
        <v>0.11139400000000001</v>
      </c>
      <c r="R24" s="6">
        <v>0.24163000000000001</v>
      </c>
      <c r="S24" s="6">
        <v>19.788399999999999</v>
      </c>
      <c r="T24" s="6">
        <v>0.139568</v>
      </c>
      <c r="U24" s="6">
        <v>0.119272</v>
      </c>
      <c r="V24" s="6">
        <v>0.118177</v>
      </c>
      <c r="W24" s="6">
        <v>0.90058000000000005</v>
      </c>
      <c r="X24" s="6">
        <v>2.62182</v>
      </c>
      <c r="Y24" s="6">
        <v>1.5934699999999999</v>
      </c>
      <c r="Z24" s="6">
        <v>6.0462399999999999E-2</v>
      </c>
      <c r="AA24" s="6">
        <v>0.312498</v>
      </c>
      <c r="AB24" s="6">
        <v>7.8569799999999995E-2</v>
      </c>
      <c r="AC24" s="6">
        <v>5.8112299999999999E-2</v>
      </c>
      <c r="AD24" s="6">
        <v>0.12567999999999999</v>
      </c>
      <c r="AE24" s="6">
        <v>0.13247900000000001</v>
      </c>
      <c r="AF24" s="6">
        <v>0.21792900000000001</v>
      </c>
      <c r="AG24" s="6">
        <v>11.746600000000001</v>
      </c>
      <c r="AH24" s="6">
        <v>0.14033399999999999</v>
      </c>
      <c r="AI24" s="6">
        <v>0.12144199999999999</v>
      </c>
      <c r="AJ24" s="6">
        <v>0.14507500000000001</v>
      </c>
      <c r="AK24" s="6">
        <v>6.9756899999999997E-2</v>
      </c>
      <c r="AL24" s="6">
        <v>1.36165</v>
      </c>
      <c r="AM24" s="6">
        <v>1.0423100000000001</v>
      </c>
      <c r="AN24" s="6">
        <v>0.118835</v>
      </c>
      <c r="AO24" s="6">
        <v>0.326324</v>
      </c>
      <c r="AP24" s="6">
        <v>0.12709400000000001</v>
      </c>
      <c r="AQ24" s="6">
        <v>0.126917</v>
      </c>
      <c r="AR24" s="6">
        <v>0.12567999999999999</v>
      </c>
      <c r="AS24" s="6">
        <v>0.13247900000000001</v>
      </c>
      <c r="AT24" s="6">
        <v>0.50268100000000004</v>
      </c>
      <c r="AU24" s="6">
        <v>14.7074</v>
      </c>
      <c r="AV24" s="6">
        <v>0.14033399999999999</v>
      </c>
      <c r="AW24" s="6">
        <v>0.12144199999999999</v>
      </c>
      <c r="AX24" s="6">
        <v>0.14507500000000001</v>
      </c>
      <c r="AY24" s="6">
        <v>6.9756899999999997E-2</v>
      </c>
      <c r="AZ24" s="6">
        <v>1.36165</v>
      </c>
      <c r="BA24" s="6">
        <v>1.0423100000000001</v>
      </c>
      <c r="BB24" s="6">
        <v>0.118835</v>
      </c>
      <c r="BC24" s="6">
        <v>0.326324</v>
      </c>
      <c r="BD24" s="6">
        <v>0.12709400000000001</v>
      </c>
      <c r="BE24" s="6">
        <v>0.126917</v>
      </c>
    </row>
    <row r="25" spans="1:57" x14ac:dyDescent="0.25">
      <c r="A25" s="5" t="s">
        <v>48</v>
      </c>
      <c r="B25" s="6">
        <v>0.20998600000000001</v>
      </c>
      <c r="C25" s="6">
        <v>0.205425</v>
      </c>
      <c r="D25" s="6">
        <v>1.1177900000000001</v>
      </c>
      <c r="E25" s="6">
        <v>17.058700000000002</v>
      </c>
      <c r="F25" s="6">
        <v>0.17169499999999999</v>
      </c>
      <c r="G25" s="6">
        <v>0.18639900000000001</v>
      </c>
      <c r="H25" s="6">
        <v>0.165911</v>
      </c>
      <c r="I25" s="6">
        <v>0.76503600000000005</v>
      </c>
      <c r="J25" s="6">
        <v>-0.65679299999999996</v>
      </c>
      <c r="K25" s="6">
        <v>0.19111600000000001</v>
      </c>
      <c r="L25" s="6">
        <v>0.24748600000000001</v>
      </c>
      <c r="M25" s="6">
        <v>0.22834499999999999</v>
      </c>
      <c r="N25" s="6">
        <v>0.21439900000000001</v>
      </c>
      <c r="O25" s="6">
        <v>0.192445</v>
      </c>
      <c r="P25" s="6">
        <v>-3.3487900000000001E-2</v>
      </c>
      <c r="Q25" s="6">
        <v>-2.89606E-2</v>
      </c>
      <c r="R25" s="6">
        <v>-1.9926300000000001E-2</v>
      </c>
      <c r="S25" s="6">
        <v>7.8247999999999998</v>
      </c>
      <c r="T25" s="6">
        <v>0.15124699999999999</v>
      </c>
      <c r="U25" s="6">
        <v>6.4919499999999998E-3</v>
      </c>
      <c r="V25" s="6">
        <v>0.101686</v>
      </c>
      <c r="W25" s="6">
        <v>0.89304799999999995</v>
      </c>
      <c r="X25" s="6">
        <v>5.10703</v>
      </c>
      <c r="Y25" s="6">
        <v>2.0023900000000001</v>
      </c>
      <c r="Z25" s="6">
        <v>-0.23311499999999999</v>
      </c>
      <c r="AA25" s="6">
        <v>-0.140905</v>
      </c>
      <c r="AB25" s="6">
        <v>-0.11136500000000001</v>
      </c>
      <c r="AC25" s="6">
        <v>-0.35561300000000001</v>
      </c>
      <c r="AD25" s="6">
        <v>7.0135100000000006E-2</v>
      </c>
      <c r="AE25" s="6">
        <v>7.9093700000000003E-2</v>
      </c>
      <c r="AF25" s="6">
        <v>0.34090599999999999</v>
      </c>
      <c r="AG25" s="6">
        <v>10.8505</v>
      </c>
      <c r="AH25" s="6">
        <v>0.14805599999999999</v>
      </c>
      <c r="AI25" s="6">
        <v>9.51597E-2</v>
      </c>
      <c r="AJ25" s="6">
        <v>0.136994</v>
      </c>
      <c r="AK25" s="6">
        <v>0.92000300000000002</v>
      </c>
      <c r="AL25" s="6">
        <v>2.9035500000000001</v>
      </c>
      <c r="AM25" s="6">
        <v>1.58934</v>
      </c>
      <c r="AN25" s="6">
        <v>3.5399399999999998E-2</v>
      </c>
      <c r="AO25" s="6">
        <v>8.1846299999999997E-2</v>
      </c>
      <c r="AP25" s="6">
        <v>6.9423600000000002E-2</v>
      </c>
      <c r="AQ25" s="6">
        <v>-3.4018300000000001E-2</v>
      </c>
      <c r="AR25" s="6">
        <v>7.0135100000000006E-2</v>
      </c>
      <c r="AS25" s="6">
        <v>7.9093700000000003E-2</v>
      </c>
      <c r="AT25" s="6">
        <v>0.52271699999999999</v>
      </c>
      <c r="AU25" s="6">
        <v>14.8629</v>
      </c>
      <c r="AV25" s="6">
        <v>0.14805599999999999</v>
      </c>
      <c r="AW25" s="6">
        <v>9.51597E-2</v>
      </c>
      <c r="AX25" s="6">
        <v>0.136994</v>
      </c>
      <c r="AY25" s="6">
        <v>0.92000300000000002</v>
      </c>
      <c r="AZ25" s="6">
        <v>2.9035500000000001</v>
      </c>
      <c r="BA25" s="6">
        <v>1.58934</v>
      </c>
      <c r="BB25" s="6">
        <v>3.5399399999999998E-2</v>
      </c>
      <c r="BC25" s="6">
        <v>8.1846299999999997E-2</v>
      </c>
      <c r="BD25" s="6">
        <v>6.9423600000000002E-2</v>
      </c>
      <c r="BE25" s="6">
        <v>-3.4018300000000001E-2</v>
      </c>
    </row>
    <row r="26" spans="1:57" x14ac:dyDescent="0.25">
      <c r="A26" s="5" t="s">
        <v>50</v>
      </c>
      <c r="B26" s="6">
        <v>0.149093</v>
      </c>
      <c r="C26" s="6">
        <v>0.13005900000000001</v>
      </c>
      <c r="D26" s="6">
        <v>2.9679899999999999</v>
      </c>
      <c r="E26" s="6">
        <v>-1.11663</v>
      </c>
      <c r="F26" s="6">
        <v>0.130944</v>
      </c>
      <c r="G26" s="6">
        <v>0.11618299999999999</v>
      </c>
      <c r="H26" s="6">
        <v>0.117212</v>
      </c>
      <c r="I26" s="6">
        <v>0.40849999999999997</v>
      </c>
      <c r="J26" s="6">
        <v>-1.08762</v>
      </c>
      <c r="K26" s="6">
        <v>-3.7323099999999998E-2</v>
      </c>
      <c r="L26" s="6">
        <v>0.14851500000000001</v>
      </c>
      <c r="M26" s="6">
        <v>0.10659100000000001</v>
      </c>
      <c r="N26" s="6">
        <v>0.147088</v>
      </c>
      <c r="O26" s="6">
        <v>9.8887500000000003E-2</v>
      </c>
      <c r="P26" s="6">
        <v>5.5845699999999998E-2</v>
      </c>
      <c r="Q26" s="6">
        <v>-1.8140300000000002E-2</v>
      </c>
      <c r="R26" s="6">
        <v>-1.3056E-2</v>
      </c>
      <c r="S26" s="6">
        <v>0.70534300000000005</v>
      </c>
      <c r="T26" s="6">
        <v>7.7527600000000002E-2</v>
      </c>
      <c r="U26" s="6">
        <v>0.106957</v>
      </c>
      <c r="V26" s="6">
        <v>0.118529</v>
      </c>
      <c r="W26" s="6">
        <v>-0.364514</v>
      </c>
      <c r="X26" s="6">
        <v>2.9475500000000001</v>
      </c>
      <c r="Y26" s="6">
        <v>1.6161099999999999</v>
      </c>
      <c r="Z26" s="6">
        <v>-7.16252E-2</v>
      </c>
      <c r="AA26" s="6">
        <v>0.27974300000000002</v>
      </c>
      <c r="AB26" s="6">
        <v>-5.0263500000000003E-2</v>
      </c>
      <c r="AC26" s="6">
        <v>-5.3185900000000001E-2</v>
      </c>
      <c r="AD26" s="6">
        <v>8.1336900000000004E-2</v>
      </c>
      <c r="AE26" s="6">
        <v>4.4622200000000001E-2</v>
      </c>
      <c r="AF26" s="6">
        <v>0.112763</v>
      </c>
      <c r="AG26" s="6">
        <v>-0.46816400000000002</v>
      </c>
      <c r="AH26" s="6">
        <v>8.0284300000000003E-2</v>
      </c>
      <c r="AI26" s="6">
        <v>9.2854400000000004E-2</v>
      </c>
      <c r="AJ26" s="6">
        <v>0.108984</v>
      </c>
      <c r="AK26" s="6">
        <v>0.40557199999999999</v>
      </c>
      <c r="AL26" s="6">
        <v>1.2378400000000001</v>
      </c>
      <c r="AM26" s="6">
        <v>0.79103000000000001</v>
      </c>
      <c r="AN26" s="6">
        <v>9.4494499999999999E-3</v>
      </c>
      <c r="AO26" s="6">
        <v>0.28378100000000001</v>
      </c>
      <c r="AP26" s="6">
        <v>2.13542E-2</v>
      </c>
      <c r="AQ26" s="6">
        <v>3.5010399999999997E-2</v>
      </c>
      <c r="AR26" s="6">
        <v>8.1336900000000004E-2</v>
      </c>
      <c r="AS26" s="6">
        <v>4.4622200000000001E-2</v>
      </c>
      <c r="AT26" s="6">
        <v>1.2498400000000001</v>
      </c>
      <c r="AU26" s="6">
        <v>-0.23313500000000001</v>
      </c>
      <c r="AV26" s="6">
        <v>8.0284300000000003E-2</v>
      </c>
      <c r="AW26" s="6">
        <v>9.2854400000000004E-2</v>
      </c>
      <c r="AX26" s="6">
        <v>0.108984</v>
      </c>
      <c r="AY26" s="6">
        <v>0.40557199999999999</v>
      </c>
      <c r="AZ26" s="6">
        <v>1.2378400000000001</v>
      </c>
      <c r="BA26" s="6">
        <v>0.79103000000000001</v>
      </c>
      <c r="BB26" s="6">
        <v>9.4494499999999999E-3</v>
      </c>
      <c r="BC26" s="6">
        <v>0.28378100000000001</v>
      </c>
      <c r="BD26" s="6">
        <v>2.13542E-2</v>
      </c>
      <c r="BE26" s="6">
        <v>3.5010399999999997E-2</v>
      </c>
    </row>
    <row r="27" spans="1:57" x14ac:dyDescent="0.25">
      <c r="A27" s="5" t="s">
        <v>52</v>
      </c>
      <c r="B27" s="6">
        <v>0.193219</v>
      </c>
      <c r="C27" s="6">
        <v>0.17397499999999999</v>
      </c>
      <c r="D27" s="6">
        <v>1.736</v>
      </c>
      <c r="E27" s="6">
        <v>16.7469</v>
      </c>
      <c r="F27" s="6">
        <v>0.125639</v>
      </c>
      <c r="G27" s="6">
        <v>0.12391099999999999</v>
      </c>
      <c r="H27" s="6">
        <v>0.13563700000000001</v>
      </c>
      <c r="I27" s="6">
        <v>-1.3057300000000001</v>
      </c>
      <c r="J27" s="6">
        <v>-1.3920600000000001</v>
      </c>
      <c r="K27" s="6">
        <v>0.41045199999999998</v>
      </c>
      <c r="L27" s="6">
        <v>0.14426600000000001</v>
      </c>
      <c r="M27" s="6">
        <v>0.19487699999999999</v>
      </c>
      <c r="N27" s="6">
        <v>0.14117199999999999</v>
      </c>
      <c r="O27" s="6">
        <v>0.121402</v>
      </c>
      <c r="P27" s="6">
        <v>2.6166200000000001E-2</v>
      </c>
      <c r="Q27" s="6">
        <v>-1.6281199999999999E-2</v>
      </c>
      <c r="R27" s="6">
        <v>0.40506399999999998</v>
      </c>
      <c r="S27" s="6">
        <v>12.0816</v>
      </c>
      <c r="T27" s="6">
        <v>0.25603399999999998</v>
      </c>
      <c r="U27" s="6">
        <v>0.131409</v>
      </c>
      <c r="V27" s="6">
        <v>0.157833</v>
      </c>
      <c r="W27" s="6">
        <v>0.92188300000000001</v>
      </c>
      <c r="X27" s="6">
        <v>1.6632400000000001</v>
      </c>
      <c r="Y27" s="6">
        <v>1.899</v>
      </c>
      <c r="Z27" s="6">
        <v>-0.26465</v>
      </c>
      <c r="AA27" s="6">
        <v>0.196911</v>
      </c>
      <c r="AB27" s="6">
        <v>-0.102243</v>
      </c>
      <c r="AC27" s="6">
        <v>-0.26977299999999999</v>
      </c>
      <c r="AD27" s="6">
        <v>0.10169499999999999</v>
      </c>
      <c r="AE27" s="6">
        <v>7.0546899999999996E-2</v>
      </c>
      <c r="AF27" s="6">
        <v>0.19996800000000001</v>
      </c>
      <c r="AG27" s="6">
        <v>5.94841</v>
      </c>
      <c r="AH27" s="6">
        <v>0.16358400000000001</v>
      </c>
      <c r="AI27" s="6">
        <v>0.107309</v>
      </c>
      <c r="AJ27" s="6">
        <v>0.12917100000000001</v>
      </c>
      <c r="AK27" s="6">
        <v>0.17224100000000001</v>
      </c>
      <c r="AL27" s="6">
        <v>0.131353</v>
      </c>
      <c r="AM27" s="6">
        <v>1.6358200000000001</v>
      </c>
      <c r="AN27" s="6">
        <v>-7.5621499999999994E-2</v>
      </c>
      <c r="AO27" s="6">
        <v>0.280754</v>
      </c>
      <c r="AP27" s="6">
        <v>2.9949299999999998E-3</v>
      </c>
      <c r="AQ27" s="6">
        <v>-7.7245800000000003E-2</v>
      </c>
      <c r="AR27" s="6">
        <v>0.10169499999999999</v>
      </c>
      <c r="AS27" s="6">
        <v>7.0546899999999996E-2</v>
      </c>
      <c r="AT27" s="6">
        <v>0.38504100000000002</v>
      </c>
      <c r="AU27" s="6">
        <v>16.770499999999998</v>
      </c>
      <c r="AV27" s="6">
        <v>0.16358400000000001</v>
      </c>
      <c r="AW27" s="6">
        <v>0.107309</v>
      </c>
      <c r="AX27" s="6">
        <v>0.12917100000000001</v>
      </c>
      <c r="AY27" s="6">
        <v>0.17224100000000001</v>
      </c>
      <c r="AZ27" s="6">
        <v>0.131353</v>
      </c>
      <c r="BA27" s="6">
        <v>1.6358200000000001</v>
      </c>
      <c r="BB27" s="6">
        <v>-7.5621499999999994E-2</v>
      </c>
      <c r="BC27" s="6">
        <v>0.280754</v>
      </c>
      <c r="BD27" s="6">
        <v>2.9949299999999998E-3</v>
      </c>
      <c r="BE27" s="6">
        <v>-7.7245800000000003E-2</v>
      </c>
    </row>
    <row r="28" spans="1:57" x14ac:dyDescent="0.25">
      <c r="A28" s="5" t="s">
        <v>54</v>
      </c>
      <c r="B28" s="6">
        <v>0.16760700000000001</v>
      </c>
      <c r="C28" s="6">
        <v>0.17976500000000001</v>
      </c>
      <c r="D28" s="6">
        <v>0.75416399999999995</v>
      </c>
      <c r="E28" s="6">
        <v>-1.6666300000000001</v>
      </c>
      <c r="F28" s="6">
        <v>0.18527399999999999</v>
      </c>
      <c r="G28" s="6">
        <v>0.14036899999999999</v>
      </c>
      <c r="H28" s="6">
        <v>0.17857200000000001</v>
      </c>
      <c r="I28" s="6">
        <v>1.5857399999999999</v>
      </c>
      <c r="J28" s="6">
        <v>-4.0019400000000003</v>
      </c>
      <c r="K28" s="6">
        <v>0.36593199999999998</v>
      </c>
      <c r="L28" s="6">
        <v>0.33437899999999998</v>
      </c>
      <c r="M28" s="6">
        <v>0.299622</v>
      </c>
      <c r="N28" s="6">
        <v>0.26227499999999998</v>
      </c>
      <c r="O28" s="6">
        <v>0.202985</v>
      </c>
      <c r="P28" s="6">
        <v>0.127582</v>
      </c>
      <c r="Q28" s="6">
        <v>0.14244200000000001</v>
      </c>
      <c r="R28" s="6">
        <v>0.21623500000000001</v>
      </c>
      <c r="S28" s="6">
        <v>6.4819599999999999</v>
      </c>
      <c r="T28" s="6">
        <v>0.21690400000000001</v>
      </c>
      <c r="U28" s="6">
        <v>0.21460000000000001</v>
      </c>
      <c r="V28" s="6">
        <v>0.210892</v>
      </c>
      <c r="W28" s="6">
        <v>1.6380300000000001</v>
      </c>
      <c r="X28" s="6">
        <v>5.28796</v>
      </c>
      <c r="Y28" s="6">
        <v>1.58725</v>
      </c>
      <c r="Z28" s="6">
        <v>0.193826</v>
      </c>
      <c r="AA28" s="6">
        <v>0.358012</v>
      </c>
      <c r="AB28" s="6">
        <v>0.185167</v>
      </c>
      <c r="AC28" s="6">
        <v>9.7108100000000003E-2</v>
      </c>
      <c r="AD28" s="6">
        <v>0.129774</v>
      </c>
      <c r="AE28" s="6">
        <v>0.14386299999999999</v>
      </c>
      <c r="AF28" s="6">
        <v>0</v>
      </c>
      <c r="AG28" s="6">
        <v>2.4675500000000001</v>
      </c>
      <c r="AH28" s="6">
        <v>0.167236</v>
      </c>
      <c r="AI28" s="6">
        <v>0.15817200000000001</v>
      </c>
      <c r="AJ28" s="6">
        <v>0.15021699999999999</v>
      </c>
      <c r="AK28" s="6">
        <v>2.0501999999999998</v>
      </c>
      <c r="AL28" s="6">
        <v>1.5383500000000001</v>
      </c>
      <c r="AM28" s="6">
        <v>1.2975000000000001</v>
      </c>
      <c r="AN28" s="6">
        <v>0.18568999999999999</v>
      </c>
      <c r="AO28" s="6">
        <v>0.31004900000000002</v>
      </c>
      <c r="AP28" s="6">
        <v>0.15992300000000001</v>
      </c>
      <c r="AQ28" s="6">
        <v>7.1998999999999994E-2</v>
      </c>
      <c r="AR28" s="6">
        <v>0.129774</v>
      </c>
      <c r="AS28" s="6">
        <v>0.14386299999999999</v>
      </c>
      <c r="AT28" s="6">
        <v>7.98841E-2</v>
      </c>
      <c r="AU28" s="6">
        <v>5.9892500000000002</v>
      </c>
      <c r="AV28" s="6">
        <v>0.167236</v>
      </c>
      <c r="AW28" s="6">
        <v>0.15817200000000001</v>
      </c>
      <c r="AX28" s="6">
        <v>0.15021699999999999</v>
      </c>
      <c r="AY28" s="6">
        <v>2.0501999999999998</v>
      </c>
      <c r="AZ28" s="6">
        <v>1.5383500000000001</v>
      </c>
      <c r="BA28" s="6">
        <v>1.2975000000000001</v>
      </c>
      <c r="BB28" s="6">
        <v>0.18568999999999999</v>
      </c>
      <c r="BC28" s="6">
        <v>0.31004900000000002</v>
      </c>
      <c r="BD28" s="6">
        <v>0.15992300000000001</v>
      </c>
      <c r="BE28" s="6">
        <v>7.1998999999999994E-2</v>
      </c>
    </row>
    <row r="29" spans="1:57" x14ac:dyDescent="0.25">
      <c r="A29" s="5" t="s">
        <v>56</v>
      </c>
      <c r="B29" s="6">
        <v>0.16464500000000001</v>
      </c>
      <c r="C29" s="6">
        <v>9.0360300000000005E-2</v>
      </c>
      <c r="D29" s="6">
        <v>3.2948200000000001</v>
      </c>
      <c r="E29" s="6">
        <v>-2.16608</v>
      </c>
      <c r="F29" s="6">
        <v>0.109013</v>
      </c>
      <c r="G29" s="6">
        <v>0.113991</v>
      </c>
      <c r="H29" s="6">
        <v>9.1207300000000005E-2</v>
      </c>
      <c r="I29" s="6">
        <v>2.9784000000000002</v>
      </c>
      <c r="J29" s="6">
        <v>-0.26241700000000001</v>
      </c>
      <c r="K29" s="6">
        <v>-7.8817100000000001E-2</v>
      </c>
      <c r="L29" s="6">
        <v>0.1026</v>
      </c>
      <c r="M29" s="6">
        <v>7.52694E-2</v>
      </c>
      <c r="N29" s="6">
        <v>0.10308</v>
      </c>
      <c r="O29" s="6">
        <v>6.7071699999999998E-2</v>
      </c>
      <c r="P29" s="6">
        <v>0.19753599999999999</v>
      </c>
      <c r="Q29" s="6">
        <v>6.5611500000000003E-2</v>
      </c>
      <c r="R29" s="6">
        <v>0.144152</v>
      </c>
      <c r="S29" s="6">
        <v>2.8601700000000001</v>
      </c>
      <c r="T29" s="6">
        <v>0.106519</v>
      </c>
      <c r="U29" s="6">
        <v>0.127162</v>
      </c>
      <c r="V29" s="6">
        <v>0.10699400000000001</v>
      </c>
      <c r="W29" s="6">
        <v>1.9000300000000001</v>
      </c>
      <c r="X29" s="6">
        <v>1.05185</v>
      </c>
      <c r="Y29" s="6">
        <v>0.72841400000000001</v>
      </c>
      <c r="Z29" s="6">
        <v>6.9214600000000001E-2</v>
      </c>
      <c r="AA29" s="6">
        <v>0.133215</v>
      </c>
      <c r="AB29" s="6">
        <v>7.3019700000000007E-2</v>
      </c>
      <c r="AC29" s="6">
        <v>4.3698699999999997E-3</v>
      </c>
      <c r="AD29" s="6">
        <v>0.18107200000000001</v>
      </c>
      <c r="AE29" s="6">
        <v>6.7074099999999998E-2</v>
      </c>
      <c r="AF29" s="6">
        <v>1.2674700000000001</v>
      </c>
      <c r="AG29" s="6">
        <v>4.0178699999999998E-2</v>
      </c>
      <c r="AH29" s="6">
        <v>9.8184499999999994E-2</v>
      </c>
      <c r="AI29" s="6">
        <v>0.111056</v>
      </c>
      <c r="AJ29" s="6">
        <v>8.8574100000000003E-2</v>
      </c>
      <c r="AK29" s="6">
        <v>2.1061200000000002</v>
      </c>
      <c r="AL29" s="6">
        <v>0.29580299999999998</v>
      </c>
      <c r="AM29" s="6">
        <v>0.46503100000000003</v>
      </c>
      <c r="AN29" s="6">
        <v>7.7194200000000004E-2</v>
      </c>
      <c r="AO29" s="6">
        <v>0.124948</v>
      </c>
      <c r="AP29" s="6">
        <v>7.9165600000000003E-2</v>
      </c>
      <c r="AQ29" s="6">
        <v>2.4765300000000001E-2</v>
      </c>
      <c r="AR29" s="6">
        <v>0.18107200000000001</v>
      </c>
      <c r="AS29" s="6">
        <v>6.7074099999999998E-2</v>
      </c>
      <c r="AT29" s="6">
        <v>1.63598</v>
      </c>
      <c r="AU29" s="6">
        <v>0.10691100000000001</v>
      </c>
      <c r="AV29" s="6">
        <v>9.8184499999999994E-2</v>
      </c>
      <c r="AW29" s="6">
        <v>0.111056</v>
      </c>
      <c r="AX29" s="6">
        <v>8.8574100000000003E-2</v>
      </c>
      <c r="AY29" s="6">
        <v>2.1061200000000002</v>
      </c>
      <c r="AZ29" s="6">
        <v>0.29580299999999998</v>
      </c>
      <c r="BA29" s="6">
        <v>0.46503100000000003</v>
      </c>
      <c r="BB29" s="6">
        <v>7.7194200000000004E-2</v>
      </c>
      <c r="BC29" s="6">
        <v>0.124948</v>
      </c>
      <c r="BD29" s="6">
        <v>7.9165600000000003E-2</v>
      </c>
      <c r="BE29" s="6">
        <v>2.4765300000000001E-2</v>
      </c>
    </row>
    <row r="30" spans="1:57" x14ac:dyDescent="0.25">
      <c r="A30" s="5" t="s">
        <v>58</v>
      </c>
      <c r="B30" s="6">
        <v>6.9137699999999996E-2</v>
      </c>
      <c r="C30" s="6">
        <v>7.5135300000000002E-2</v>
      </c>
      <c r="D30" s="6">
        <v>0.39124500000000001</v>
      </c>
      <c r="E30" s="6">
        <v>-3.2932800000000002</v>
      </c>
      <c r="F30" s="6">
        <v>7.6696700000000007E-2</v>
      </c>
      <c r="G30" s="6">
        <v>9.5077599999999998E-2</v>
      </c>
      <c r="H30" s="6">
        <v>7.01933E-2</v>
      </c>
      <c r="I30" s="6">
        <v>0.78092799999999996</v>
      </c>
      <c r="J30" s="6">
        <v>-6.5197000000000005E-2</v>
      </c>
      <c r="K30" s="6">
        <v>1.3184400000000001</v>
      </c>
      <c r="L30" s="6">
        <v>7.3815099999999995E-2</v>
      </c>
      <c r="M30" s="6">
        <v>0.34822500000000001</v>
      </c>
      <c r="N30" s="6">
        <v>7.4447600000000003E-2</v>
      </c>
      <c r="O30" s="6">
        <v>2.4485799999999999E-2</v>
      </c>
      <c r="P30" s="6">
        <v>-0.134491</v>
      </c>
      <c r="Q30" s="6">
        <v>-0.101109</v>
      </c>
      <c r="R30" s="6">
        <v>9.2833499999999999E-2</v>
      </c>
      <c r="S30" s="6">
        <v>9.35243</v>
      </c>
      <c r="T30" s="6">
        <v>0.27115600000000001</v>
      </c>
      <c r="U30" s="6">
        <v>0.27999299999999999</v>
      </c>
      <c r="V30" s="6">
        <v>0.20193700000000001</v>
      </c>
      <c r="W30" s="6">
        <v>1.79122</v>
      </c>
      <c r="X30" s="6">
        <v>4.8446499999999997</v>
      </c>
      <c r="Y30" s="6">
        <v>2.5995200000000001</v>
      </c>
      <c r="Z30" s="6">
        <v>-7.0921200000000004E-2</v>
      </c>
      <c r="AA30" s="6">
        <v>0.516934</v>
      </c>
      <c r="AB30" s="6">
        <v>5.7536700000000003E-2</v>
      </c>
      <c r="AC30" s="6">
        <v>-7.3271299999999998E-2</v>
      </c>
      <c r="AD30" s="6">
        <v>-5.3095099999999999E-2</v>
      </c>
      <c r="AE30" s="6">
        <v>-2.7512399999999999E-2</v>
      </c>
      <c r="AF30" s="6">
        <v>0.18535699999999999</v>
      </c>
      <c r="AG30" s="6">
        <v>-0.99687199999999998</v>
      </c>
      <c r="AH30" s="6">
        <v>0.154138</v>
      </c>
      <c r="AI30" s="6">
        <v>0.16437599999999999</v>
      </c>
      <c r="AJ30" s="6">
        <v>0.16691600000000001</v>
      </c>
      <c r="AK30" s="6">
        <v>1.4941199999999999</v>
      </c>
      <c r="AL30" s="6">
        <v>3.0823</v>
      </c>
      <c r="AM30" s="6">
        <v>2.2499699999999998</v>
      </c>
      <c r="AN30" s="6">
        <v>-9.0767099999999998E-4</v>
      </c>
      <c r="AO30" s="6">
        <v>0.50166500000000003</v>
      </c>
      <c r="AP30" s="6">
        <v>6.5767099999999995E-2</v>
      </c>
      <c r="AQ30" s="6">
        <v>9.9780599999999997E-2</v>
      </c>
      <c r="AR30" s="6">
        <v>-5.3095099999999999E-2</v>
      </c>
      <c r="AS30" s="6">
        <v>-2.7512399999999999E-2</v>
      </c>
      <c r="AT30" s="6">
        <v>0.77060499999999998</v>
      </c>
      <c r="AU30" s="6">
        <v>7.5485399999999994E-2</v>
      </c>
      <c r="AV30" s="6">
        <v>0.154138</v>
      </c>
      <c r="AW30" s="6">
        <v>0.16437599999999999</v>
      </c>
      <c r="AX30" s="6">
        <v>0.16691600000000001</v>
      </c>
      <c r="AY30" s="6">
        <v>1.4941199999999999</v>
      </c>
      <c r="AZ30" s="6">
        <v>3.0823</v>
      </c>
      <c r="BA30" s="6">
        <v>2.2499699999999998</v>
      </c>
      <c r="BB30" s="6">
        <v>-9.0767099999999998E-4</v>
      </c>
      <c r="BC30" s="6">
        <v>0.50166500000000003</v>
      </c>
      <c r="BD30" s="6">
        <v>6.5767099999999995E-2</v>
      </c>
      <c r="BE30" s="6">
        <v>9.9780599999999997E-2</v>
      </c>
    </row>
    <row r="31" spans="1:57" x14ac:dyDescent="0.25">
      <c r="A31" s="5" t="s">
        <v>60</v>
      </c>
      <c r="B31" s="6">
        <v>0.179478</v>
      </c>
      <c r="C31" s="6">
        <v>0.17046500000000001</v>
      </c>
      <c r="D31" s="6">
        <v>0.69140000000000001</v>
      </c>
      <c r="E31" s="6">
        <v>5.42842</v>
      </c>
      <c r="F31" s="6">
        <v>0.14449300000000001</v>
      </c>
      <c r="G31" s="6">
        <v>0.14871300000000001</v>
      </c>
      <c r="H31" s="6">
        <v>0.12764700000000001</v>
      </c>
      <c r="I31" s="6">
        <v>0.86109599999999997</v>
      </c>
      <c r="J31" s="6">
        <v>-0.78656000000000004</v>
      </c>
      <c r="K31" s="6">
        <v>0.58770900000000004</v>
      </c>
      <c r="L31" s="6">
        <v>0.148232</v>
      </c>
      <c r="M31" s="6">
        <v>0.15856799999999999</v>
      </c>
      <c r="N31" s="6">
        <v>0.14799999999999999</v>
      </c>
      <c r="O31" s="6">
        <v>0.123663</v>
      </c>
      <c r="P31" s="6">
        <v>5.5928699999999998E-2</v>
      </c>
      <c r="Q31" s="6">
        <v>5.54505E-2</v>
      </c>
      <c r="R31" s="6">
        <v>1.38666E-2</v>
      </c>
      <c r="S31" s="6">
        <v>14.3507</v>
      </c>
      <c r="T31" s="6">
        <v>0.122237</v>
      </c>
      <c r="U31" s="6">
        <v>0.13870199999999999</v>
      </c>
      <c r="V31" s="6">
        <v>-1.54558E-2</v>
      </c>
      <c r="W31" s="6">
        <v>0.94469700000000001</v>
      </c>
      <c r="X31" s="6">
        <v>10.6747</v>
      </c>
      <c r="Y31" s="6">
        <v>2.35223</v>
      </c>
      <c r="Z31" s="6">
        <v>-0.113757</v>
      </c>
      <c r="AA31" s="6">
        <v>-8.1206500000000001E-2</v>
      </c>
      <c r="AB31" s="6">
        <v>-1.8928700000000001E-3</v>
      </c>
      <c r="AC31" s="6">
        <v>-0.18534700000000001</v>
      </c>
      <c r="AD31" s="6">
        <v>0.114609</v>
      </c>
      <c r="AE31" s="6">
        <v>0.112304</v>
      </c>
      <c r="AF31" s="6">
        <v>0</v>
      </c>
      <c r="AG31" s="6">
        <v>5.8155200000000002</v>
      </c>
      <c r="AH31" s="6">
        <v>0.120972</v>
      </c>
      <c r="AI31" s="6">
        <v>0.129692</v>
      </c>
      <c r="AJ31" s="6">
        <v>6.2979900000000005E-2</v>
      </c>
      <c r="AK31" s="6">
        <v>1.3784000000000001</v>
      </c>
      <c r="AL31" s="6">
        <v>6.8462399999999999</v>
      </c>
      <c r="AM31" s="6">
        <v>1.98356</v>
      </c>
      <c r="AN31" s="6">
        <v>1.2797299999999999E-2</v>
      </c>
      <c r="AO31" s="6">
        <v>5.4986100000000003E-2</v>
      </c>
      <c r="AP31" s="6">
        <v>6.5696900000000003E-2</v>
      </c>
      <c r="AQ31" s="6">
        <v>-1.16566E-2</v>
      </c>
      <c r="AR31" s="6">
        <v>0.114609</v>
      </c>
      <c r="AS31" s="6">
        <v>0.112304</v>
      </c>
      <c r="AT31" s="6">
        <v>0.783447</v>
      </c>
      <c r="AU31" s="6">
        <v>9.3512799999999991</v>
      </c>
      <c r="AV31" s="6">
        <v>0.120972</v>
      </c>
      <c r="AW31" s="6">
        <v>0.129692</v>
      </c>
      <c r="AX31" s="6">
        <v>6.2979900000000005E-2</v>
      </c>
      <c r="AY31" s="6">
        <v>1.3784000000000001</v>
      </c>
      <c r="AZ31" s="6">
        <v>6.8462399999999999</v>
      </c>
      <c r="BA31" s="6">
        <v>1.98356</v>
      </c>
      <c r="BB31" s="6">
        <v>1.2797299999999999E-2</v>
      </c>
      <c r="BC31" s="6">
        <v>5.4986100000000003E-2</v>
      </c>
      <c r="BD31" s="6">
        <v>6.5696900000000003E-2</v>
      </c>
      <c r="BE31" s="6">
        <v>-1.16566E-2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TRA</vt:lpstr>
      <vt:lpstr>Welfare</vt:lpstr>
      <vt:lpstr>dINC</vt:lpstr>
      <vt:lpstr>PriceChange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Toon Vandyck</dc:creator>
  <cp:keywords/>
  <dc:description/>
  <cp:lastModifiedBy>Toon Vandyck</cp:lastModifiedBy>
  <cp:revision/>
  <dcterms:created xsi:type="dcterms:W3CDTF">2015-06-05T18:17:20Z</dcterms:created>
  <dcterms:modified xsi:type="dcterms:W3CDTF">2026-09-04T13:47:38Z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bd9ddd1-4d20-43f6-abfa-fc3c07406f94_Enabled">
    <vt:lpwstr>true</vt:lpwstr>
  </property>
  <property fmtid="{D5CDD505-2E9C-101B-9397-08002B2CF9AE}" pid="3" name="MSIP_Label_6bd9ddd1-4d20-43f6-abfa-fc3c07406f94_SetDate">
    <vt:lpwstr>2026-06-12T08:24:41Z</vt:lpwstr>
  </property>
  <property fmtid="{D5CDD505-2E9C-101B-9397-08002B2CF9AE}" pid="4" name="MSIP_Label_6bd9ddd1-4d20-43f6-abfa-fc3c07406f94_Method">
    <vt:lpwstr>Standard</vt:lpwstr>
  </property>
  <property fmtid="{D5CDD505-2E9C-101B-9397-08002B2CF9AE}" pid="5" name="MSIP_Label_6bd9ddd1-4d20-43f6-abfa-fc3c07406f94_Name">
    <vt:lpwstr>Commission Use</vt:lpwstr>
  </property>
  <property fmtid="{D5CDD505-2E9C-101B-9397-08002B2CF9AE}" pid="6" name="MSIP_Label_6bd9ddd1-4d20-43f6-abfa-fc3c07406f94_SiteId">
    <vt:lpwstr>b24c8b06-522c-46fe-9080-70926f8dddb1</vt:lpwstr>
  </property>
  <property fmtid="{D5CDD505-2E9C-101B-9397-08002B2CF9AE}" pid="7" name="MSIP_Label_6bd9ddd1-4d20-43f6-abfa-fc3c07406f94_ActionId">
    <vt:lpwstr>ae939ef8-a7ad-48d5-a471-25154669141c</vt:lpwstr>
  </property>
  <property fmtid="{D5CDD505-2E9C-101B-9397-08002B2CF9AE}" pid="8" name="MSIP_Label_6bd9ddd1-4d20-43f6-abfa-fc3c07406f94_ContentBits">
    <vt:lpwstr>0</vt:lpwstr>
  </property>
  <property fmtid="{D5CDD505-2E9C-101B-9397-08002B2CF9AE}" pid="9" name="MSIP_Label_6bd9ddd1-4d20-43f6-abfa-fc3c07406f94_Tag">
    <vt:lpwstr>10, 3, 0, 1</vt:lpwstr>
  </property>
</Properties>
</file>